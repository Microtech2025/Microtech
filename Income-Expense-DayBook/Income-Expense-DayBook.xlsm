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40" yWindow="75" windowWidth="20115" windowHeight="7995"/>
  </bookViews>
  <sheets>
    <sheet name="Expense" sheetId="6" r:id="rId1"/>
    <sheet name="Income" sheetId="5" r:id="rId2"/>
    <sheet name="DayBook" sheetId="4" r:id="rId3"/>
  </sheets>
  <definedNames>
    <definedName name="_xlnm._FilterDatabase" localSheetId="2" hidden="1">DayBook!$A$1:$E$367</definedName>
    <definedName name="_xlnm._FilterDatabase" localSheetId="0" hidden="1">Expense!$B$2:$H$4</definedName>
    <definedName name="daybook">DayBook!$B$1:$E$367</definedName>
  </definedNames>
  <calcPr calcId="144525"/>
</workbook>
</file>

<file path=xl/calcChain.xml><?xml version="1.0" encoding="utf-8"?>
<calcChain xmlns="http://schemas.openxmlformats.org/spreadsheetml/2006/main">
  <c r="E3" i="4" l="1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J10" i="4" s="1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2" i="4"/>
  <c r="E3" i="6"/>
  <c r="G3" i="6" s="1"/>
  <c r="H3" i="5"/>
  <c r="B3" i="5"/>
  <c r="A3" i="5" s="1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J13" i="4"/>
  <c r="C13" i="4"/>
  <c r="C12" i="4"/>
  <c r="C11" i="4"/>
  <c r="C10" i="4"/>
  <c r="C9" i="4"/>
  <c r="C8" i="4"/>
  <c r="C7" i="4"/>
  <c r="C6" i="4"/>
  <c r="C5" i="4"/>
  <c r="C4" i="4"/>
  <c r="C3" i="4"/>
  <c r="C2" i="4"/>
  <c r="H3" i="6" l="1"/>
  <c r="J20" i="4"/>
  <c r="J17" i="4"/>
</calcChain>
</file>

<file path=xl/sharedStrings.xml><?xml version="1.0" encoding="utf-8"?>
<sst xmlns="http://schemas.openxmlformats.org/spreadsheetml/2006/main" count="30" uniqueCount="25">
  <si>
    <t>Sr. No</t>
  </si>
  <si>
    <t>Date</t>
  </si>
  <si>
    <t>Day</t>
  </si>
  <si>
    <t>Income</t>
  </si>
  <si>
    <t>Expence</t>
  </si>
  <si>
    <t>Day Book Report</t>
  </si>
  <si>
    <r>
      <t xml:space="preserve">जिस दिन का </t>
    </r>
    <r>
      <rPr>
        <sz val="11"/>
        <color theme="1"/>
        <rFont val="Calibri"/>
        <family val="2"/>
        <scheme val="minor"/>
      </rPr>
      <t>Income-Expense</t>
    </r>
    <r>
      <rPr>
        <sz val="10"/>
        <color theme="1"/>
        <rFont val="Calibri"/>
        <family val="2"/>
        <scheme val="minor"/>
      </rPr>
      <t xml:space="preserve"> देखना है उस दिन का </t>
    </r>
    <r>
      <rPr>
        <sz val="11"/>
        <color theme="1"/>
        <rFont val="Calibri"/>
        <family val="2"/>
        <scheme val="minor"/>
      </rPr>
      <t>Date Type</t>
    </r>
    <r>
      <rPr>
        <sz val="10"/>
        <color theme="1"/>
        <rFont val="Calibri"/>
        <family val="2"/>
        <scheme val="minor"/>
      </rPr>
      <t xml:space="preserve">  करें</t>
    </r>
  </si>
  <si>
    <r>
      <rPr>
        <b/>
        <sz val="14"/>
        <color theme="1"/>
        <rFont val="Calibri"/>
        <family val="2"/>
        <scheme val="minor"/>
      </rPr>
      <t>Type date in</t>
    </r>
    <r>
      <rPr>
        <b/>
        <sz val="12"/>
        <color theme="1"/>
        <rFont val="Calibri"/>
        <family val="2"/>
        <scheme val="minor"/>
      </rPr>
      <t xml:space="preserve">
Month/Day/Year</t>
    </r>
  </si>
  <si>
    <t>/-</t>
  </si>
  <si>
    <t>Expense</t>
  </si>
  <si>
    <t>Profit/Loss</t>
  </si>
  <si>
    <t>Sr. 
No.</t>
  </si>
  <si>
    <t>Income Date</t>
  </si>
  <si>
    <t>Income Rs.</t>
  </si>
  <si>
    <t>Student 
Reg. No.</t>
  </si>
  <si>
    <t>Income For</t>
  </si>
  <si>
    <t>Total Income Entry</t>
  </si>
  <si>
    <t>Expense Date</t>
  </si>
  <si>
    <t>Expense (Rs.)</t>
  </si>
  <si>
    <t>Expense for</t>
  </si>
  <si>
    <t>Total Expense</t>
  </si>
  <si>
    <t>Total Income</t>
  </si>
  <si>
    <t>Loss/Profit Rs.</t>
  </si>
  <si>
    <t>Result</t>
  </si>
  <si>
    <t>Remaining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</si>
</sst>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yy;@"/>
    <numFmt numFmtId="165" formatCode="0.00;[Red]0.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/>
    <xf numFmtId="0" fontId="0" fillId="3" borderId="5" xfId="0" applyFill="1" applyBorder="1"/>
    <xf numFmtId="0" fontId="0" fillId="3" borderId="9" xfId="0" applyFill="1" applyBorder="1"/>
    <xf numFmtId="0" fontId="0" fillId="3" borderId="0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0" xfId="0" applyAlignment="1">
      <alignment horizontal="center" vertical="center"/>
    </xf>
    <xf numFmtId="2" fontId="0" fillId="0" borderId="0" xfId="0" applyNumberFormat="1"/>
    <xf numFmtId="0" fontId="6" fillId="2" borderId="8" xfId="0" applyFont="1" applyFill="1" applyBorder="1" applyAlignment="1" applyProtection="1">
      <alignment horizontal="center" vertical="center" wrapText="1"/>
    </xf>
    <xf numFmtId="0" fontId="6" fillId="2" borderId="10" xfId="0" applyFont="1" applyFill="1" applyBorder="1" applyAlignment="1" applyProtection="1">
      <alignment horizontal="center" vertical="center"/>
    </xf>
    <xf numFmtId="164" fontId="6" fillId="2" borderId="10" xfId="0" applyNumberFormat="1" applyFont="1" applyFill="1" applyBorder="1" applyAlignment="1" applyProtection="1">
      <alignment horizontal="center" vertical="center"/>
      <protection locked="0"/>
    </xf>
    <xf numFmtId="2" fontId="6" fillId="2" borderId="10" xfId="0" applyNumberFormat="1" applyFont="1" applyFill="1" applyBorder="1" applyAlignment="1" applyProtection="1">
      <alignment horizontal="center"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0" fontId="6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6" fillId="0" borderId="13" xfId="0" applyFon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164" fontId="0" fillId="0" borderId="1" xfId="0" applyNumberFormat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8" fillId="5" borderId="13" xfId="0" applyFont="1" applyFill="1" applyBorder="1" applyAlignment="1" applyProtection="1">
      <alignment horizontal="left" vertical="center"/>
    </xf>
    <xf numFmtId="0" fontId="6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4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64" fontId="6" fillId="9" borderId="1" xfId="0" applyNumberFormat="1" applyFont="1" applyFill="1" applyBorder="1" applyAlignment="1" applyProtection="1">
      <alignment horizontal="center" vertical="center"/>
      <protection locked="0"/>
    </xf>
    <xf numFmtId="165" fontId="6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9" borderId="1" xfId="0" applyFont="1" applyFill="1" applyBorder="1" applyAlignment="1" applyProtection="1">
      <alignment horizontal="center" vertical="center" wrapText="1"/>
      <protection locked="0"/>
    </xf>
    <xf numFmtId="2" fontId="1" fillId="7" borderId="1" xfId="0" applyNumberFormat="1" applyFont="1" applyFill="1" applyBorder="1" applyAlignment="1">
      <alignment vertical="center"/>
    </xf>
    <xf numFmtId="0" fontId="1" fillId="7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2" fontId="2" fillId="4" borderId="14" xfId="0" applyNumberFormat="1" applyFont="1" applyFill="1" applyBorder="1" applyAlignment="1">
      <alignment horizontal="center" vertical="center"/>
    </xf>
    <xf numFmtId="2" fontId="2" fillId="4" borderId="10" xfId="0" applyNumberFormat="1" applyFont="1" applyFill="1" applyBorder="1" applyAlignment="1">
      <alignment horizontal="center" vertical="center"/>
    </xf>
    <xf numFmtId="0" fontId="10" fillId="8" borderId="11" xfId="0" applyFont="1" applyFill="1" applyBorder="1" applyAlignment="1" applyProtection="1">
      <alignment horizontal="center" vertical="center"/>
    </xf>
    <xf numFmtId="0" fontId="10" fillId="8" borderId="12" xfId="0" applyFont="1" applyFill="1" applyBorder="1" applyAlignment="1" applyProtection="1">
      <alignment horizontal="center" vertical="center"/>
    </xf>
    <xf numFmtId="0" fontId="10" fillId="8" borderId="13" xfId="0" applyFont="1" applyFill="1" applyBorder="1" applyAlignment="1" applyProtection="1">
      <alignment horizontal="center" vertical="center"/>
    </xf>
    <xf numFmtId="2" fontId="11" fillId="5" borderId="11" xfId="0" applyNumberFormat="1" applyFont="1" applyFill="1" applyBorder="1" applyAlignment="1" applyProtection="1">
      <alignment horizontal="right" vertical="center"/>
    </xf>
    <xf numFmtId="2" fontId="11" fillId="5" borderId="12" xfId="0" applyNumberFormat="1" applyFont="1" applyFill="1" applyBorder="1" applyAlignment="1" applyProtection="1">
      <alignment horizontal="righ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14" fontId="7" fillId="5" borderId="1" xfId="0" applyNumberFormat="1" applyFont="1" applyFill="1" applyBorder="1" applyAlignment="1" applyProtection="1">
      <alignment horizontal="center" vertical="center"/>
      <protection locked="0"/>
    </xf>
    <xf numFmtId="0" fontId="7" fillId="2" borderId="2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2" fontId="8" fillId="6" borderId="2" xfId="0" applyNumberFormat="1" applyFont="1" applyFill="1" applyBorder="1" applyAlignment="1">
      <alignment horizontal="right"/>
    </xf>
    <xf numFmtId="2" fontId="8" fillId="6" borderId="3" xfId="0" applyNumberFormat="1" applyFont="1" applyFill="1" applyBorder="1" applyAlignment="1">
      <alignment horizontal="right"/>
    </xf>
    <xf numFmtId="2" fontId="8" fillId="6" borderId="6" xfId="0" applyNumberFormat="1" applyFont="1" applyFill="1" applyBorder="1" applyAlignment="1">
      <alignment horizontal="right"/>
    </xf>
    <xf numFmtId="2" fontId="8" fillId="6" borderId="7" xfId="0" applyNumberFormat="1" applyFont="1" applyFill="1" applyBorder="1" applyAlignment="1">
      <alignment horizontal="right"/>
    </xf>
    <xf numFmtId="0" fontId="8" fillId="6" borderId="4" xfId="0" applyFont="1" applyFill="1" applyBorder="1" applyAlignment="1">
      <alignment horizontal="left"/>
    </xf>
    <xf numFmtId="0" fontId="8" fillId="6" borderId="8" xfId="0" applyFont="1" applyFill="1" applyBorder="1" applyAlignment="1">
      <alignment horizontal="left"/>
    </xf>
    <xf numFmtId="0" fontId="9" fillId="7" borderId="2" xfId="0" applyFont="1" applyFill="1" applyBorder="1" applyAlignment="1">
      <alignment horizontal="center" vertical="center"/>
    </xf>
    <xf numFmtId="0" fontId="9" fillId="7" borderId="3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9" fillId="7" borderId="6" xfId="0" applyFont="1" applyFill="1" applyBorder="1" applyAlignment="1">
      <alignment horizontal="center" vertical="center"/>
    </xf>
    <xf numFmtId="0" fontId="9" fillId="7" borderId="7" xfId="0" applyFont="1" applyFill="1" applyBorder="1" applyAlignment="1">
      <alignment horizontal="center" vertical="center"/>
    </xf>
    <xf numFmtId="0" fontId="9" fillId="7" borderId="8" xfId="0" applyFont="1" applyFill="1" applyBorder="1" applyAlignment="1">
      <alignment horizontal="center" vertical="center"/>
    </xf>
    <xf numFmtId="165" fontId="8" fillId="6" borderId="2" xfId="0" applyNumberFormat="1" applyFont="1" applyFill="1" applyBorder="1" applyAlignment="1">
      <alignment horizontal="right"/>
    </xf>
    <xf numFmtId="165" fontId="8" fillId="6" borderId="3" xfId="0" applyNumberFormat="1" applyFont="1" applyFill="1" applyBorder="1" applyAlignment="1">
      <alignment horizontal="right"/>
    </xf>
    <xf numFmtId="165" fontId="8" fillId="6" borderId="6" xfId="0" applyNumberFormat="1" applyFont="1" applyFill="1" applyBorder="1" applyAlignment="1">
      <alignment horizontal="right"/>
    </xf>
    <xf numFmtId="165" fontId="8" fillId="6" borderId="7" xfId="0" applyNumberFormat="1" applyFont="1" applyFill="1" applyBorder="1" applyAlignment="1">
      <alignment horizontal="right"/>
    </xf>
  </cellXfs>
  <cellStyles count="1">
    <cellStyle name="Normal" xfId="0" builtinId="0"/>
  </cellStyles>
  <dxfs count="12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4" formatCode="[$-409]d\-mmm\-yy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DayBook!I6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c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85725</xdr:colOff>
      <xdr:row>0</xdr:row>
      <xdr:rowOff>200025</xdr:rowOff>
    </xdr:from>
    <xdr:to>
      <xdr:col>10</xdr:col>
      <xdr:colOff>76200</xdr:colOff>
      <xdr:row>0</xdr:row>
      <xdr:rowOff>723900</xdr:rowOff>
    </xdr:to>
    <xdr:sp macro="" textlink="">
      <xdr:nvSpPr>
        <xdr:cNvPr id="2" name="Pentagon 1">
          <a:hlinkClick xmlns:r="http://schemas.openxmlformats.org/officeDocument/2006/relationships" r:id="rId1"/>
        </xdr:cNvPr>
        <xdr:cNvSpPr/>
      </xdr:nvSpPr>
      <xdr:spPr>
        <a:xfrm>
          <a:off x="8867775" y="200025"/>
          <a:ext cx="2219325" cy="523875"/>
        </a:xfrm>
        <a:prstGeom prst="homePlate">
          <a:avLst/>
        </a:prstGeom>
        <a:scene3d>
          <a:camera prst="orthographicFront"/>
          <a:lightRig rig="threePt" dir="t"/>
        </a:scene3d>
        <a:sp3d>
          <a:bevelT prst="slope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Back to Day 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333375</xdr:colOff>
      <xdr:row>3</xdr:row>
      <xdr:rowOff>66676</xdr:rowOff>
    </xdr:from>
    <xdr:to>
      <xdr:col>16</xdr:col>
      <xdr:colOff>152400</xdr:colOff>
      <xdr:row>6</xdr:row>
      <xdr:rowOff>47625</xdr:rowOff>
    </xdr:to>
    <xdr:sp macro="" textlink="">
      <xdr:nvSpPr>
        <xdr:cNvPr id="2" name="Rectangle 1">
          <a:hlinkClick xmlns:r="http://schemas.openxmlformats.org/officeDocument/2006/relationships" r:id="rId1"/>
        </xdr:cNvPr>
        <xdr:cNvSpPr/>
      </xdr:nvSpPr>
      <xdr:spPr>
        <a:xfrm>
          <a:off x="10563225" y="904876"/>
          <a:ext cx="1647825" cy="638174"/>
        </a:xfrm>
        <a:prstGeom prst="rect">
          <a:avLst/>
        </a:prstGeom>
        <a:scene3d>
          <a:camera prst="orthographicFront"/>
          <a:lightRig rig="threePt" dir="t"/>
        </a:scene3d>
        <a:sp3d>
          <a:bevelT prst="slope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All</a:t>
          </a:r>
        </a:p>
        <a:p>
          <a:pPr algn="ctr"/>
          <a:r>
            <a:rPr lang="en-US" sz="1600" b="1"/>
            <a:t>Income Records</a:t>
          </a:r>
        </a:p>
      </xdr:txBody>
    </xdr:sp>
    <xdr:clientData/>
  </xdr:twoCellAnchor>
  <xdr:twoCellAnchor>
    <xdr:from>
      <xdr:col>13</xdr:col>
      <xdr:colOff>400050</xdr:colOff>
      <xdr:row>8</xdr:row>
      <xdr:rowOff>104774</xdr:rowOff>
    </xdr:from>
    <xdr:to>
      <xdr:col>16</xdr:col>
      <xdr:colOff>123824</xdr:colOff>
      <xdr:row>11</xdr:row>
      <xdr:rowOff>28575</xdr:rowOff>
    </xdr:to>
    <xdr:sp macro="" textlink="">
      <xdr:nvSpPr>
        <xdr:cNvPr id="3" name="Rectangle 2"/>
        <xdr:cNvSpPr/>
      </xdr:nvSpPr>
      <xdr:spPr>
        <a:xfrm>
          <a:off x="10629900" y="1981199"/>
          <a:ext cx="1552574" cy="495301"/>
        </a:xfrm>
        <a:prstGeom prst="rect">
          <a:avLst/>
        </a:prstGeom>
        <a:scene3d>
          <a:camera prst="orthographicFront"/>
          <a:lightRig rig="threePt" dir="t"/>
        </a:scene3d>
        <a:sp3d>
          <a:bevelT w="139700" prst="cross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Go</a:t>
          </a:r>
          <a:r>
            <a:rPr lang="en-US" sz="1600" b="1" baseline="0"/>
            <a:t> T</a:t>
          </a:r>
          <a:r>
            <a:rPr lang="en-US" sz="1600" b="1"/>
            <a:t>o Home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2:F3" totalsRowShown="0" headerRowDxfId="10" dataDxfId="8" headerRowBorderDxfId="9" tableBorderDxfId="7" totalsRowBorderDxfId="6">
  <autoFilter ref="A2:F3"/>
  <tableColumns count="6">
    <tableColumn id="1" name="Sr. _x000a_No." dataDxfId="5">
      <calculatedColumnFormula>IF(Table1[[#This Row],[Day]]="","",ROW(1:1))</calculatedColumnFormula>
    </tableColumn>
    <tableColumn id="2" name="Day" dataDxfId="4">
      <calculatedColumnFormula>IF(Table1[[#This Row],[Income Date]]="","",TEXT(Table1[[#This Row],[Income Date]],"ddd"))</calculatedColumnFormula>
    </tableColumn>
    <tableColumn id="3" name="Income Date" dataDxfId="3"/>
    <tableColumn id="4" name="Income Rs." dataDxfId="2"/>
    <tableColumn id="5" name="Student _x000a_Reg. No." dataDxfId="1"/>
    <tableColumn id="6" name="Income F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0000"/>
  </sheetPr>
  <dimension ref="B1:J8"/>
  <sheetViews>
    <sheetView tabSelected="1" workbookViewId="0">
      <selection activeCell="J3" sqref="J3:J4"/>
    </sheetView>
  </sheetViews>
  <sheetFormatPr defaultRowHeight="20.100000000000001" customHeight="1" x14ac:dyDescent="0.25"/>
  <cols>
    <col min="1" max="1" width="1.85546875" customWidth="1"/>
    <col min="2" max="2" width="16.7109375" style="40" customWidth="1"/>
    <col min="3" max="3" width="16.140625" style="41" customWidth="1"/>
    <col min="4" max="4" width="35.28515625" style="42" customWidth="1"/>
    <col min="5" max="5" width="13.7109375" style="42" customWidth="1"/>
    <col min="6" max="6" width="12.7109375" style="42" bestFit="1" customWidth="1"/>
    <col min="7" max="7" width="17.7109375" style="42" customWidth="1"/>
    <col min="8" max="8" width="11.7109375" style="42" customWidth="1"/>
    <col min="9" max="9" width="2.7109375" customWidth="1"/>
    <col min="10" max="10" width="20.7109375" customWidth="1"/>
    <col min="11" max="11" width="2.85546875" customWidth="1"/>
  </cols>
  <sheetData>
    <row r="1" spans="2:10" ht="15" customHeight="1" x14ac:dyDescent="0.25"/>
    <row r="2" spans="2:10" ht="53.25" customHeight="1" x14ac:dyDescent="0.25">
      <c r="B2" s="43" t="s">
        <v>17</v>
      </c>
      <c r="C2" s="44" t="s">
        <v>18</v>
      </c>
      <c r="D2" s="45" t="s">
        <v>19</v>
      </c>
      <c r="E2" s="45" t="s">
        <v>20</v>
      </c>
      <c r="F2" s="45" t="s">
        <v>21</v>
      </c>
      <c r="G2" s="45" t="s">
        <v>22</v>
      </c>
      <c r="H2" s="45" t="s">
        <v>23</v>
      </c>
      <c r="J2" s="45" t="s">
        <v>24</v>
      </c>
    </row>
    <row r="3" spans="2:10" ht="20.100000000000001" customHeight="1" x14ac:dyDescent="0.25">
      <c r="E3" s="46">
        <f>SUM(C:C)</f>
        <v>0</v>
      </c>
      <c r="F3" s="46"/>
      <c r="G3" s="46">
        <f>(F3-E3)</f>
        <v>0</v>
      </c>
      <c r="H3" s="47" t="str">
        <f>IF(F3&gt;E3,"Profit","Loss")</f>
        <v>Loss</v>
      </c>
      <c r="J3" s="49"/>
    </row>
    <row r="4" spans="2:10" ht="20.100000000000001" customHeight="1" x14ac:dyDescent="0.25">
      <c r="J4" s="50"/>
    </row>
    <row r="8" spans="2:10" ht="20.100000000000001" customHeight="1" x14ac:dyDescent="0.25">
      <c r="D8" s="48"/>
    </row>
  </sheetData>
  <autoFilter ref="B2:H4"/>
  <mergeCells count="1">
    <mergeCell ref="J3:J4"/>
  </mergeCells>
  <conditionalFormatting sqref="B3:D8080">
    <cfRule type="expression" dxfId="11" priority="1">
      <formula>$B3&gt;0</formula>
    </cfRule>
  </conditionalFormatting>
  <pageMargins left="0.2" right="0.2" top="0.5" bottom="0.5" header="0.3" footer="0.3"/>
  <pageSetup orientation="landscape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J3"/>
  <sheetViews>
    <sheetView workbookViewId="0"/>
  </sheetViews>
  <sheetFormatPr defaultRowHeight="20.100000000000001" customHeight="1" x14ac:dyDescent="0.25"/>
  <cols>
    <col min="1" max="1" width="10" style="35" customWidth="1"/>
    <col min="2" max="2" width="11.7109375" style="36" customWidth="1"/>
    <col min="3" max="3" width="19.42578125" style="37" customWidth="1"/>
    <col min="4" max="4" width="20.7109375" style="38" customWidth="1"/>
    <col min="5" max="5" width="16.28515625" style="39" customWidth="1"/>
    <col min="6" max="6" width="44.42578125" style="27" customWidth="1"/>
    <col min="7" max="7" width="9.140625" style="27"/>
    <col min="8" max="8" width="8.85546875" style="27" customWidth="1"/>
    <col min="9" max="9" width="15.42578125" style="27" customWidth="1"/>
    <col min="10" max="16384" width="9.140625" style="27"/>
  </cols>
  <sheetData>
    <row r="1" spans="1:10" ht="66" customHeight="1" x14ac:dyDescent="0.25"/>
    <row r="2" spans="1:10" ht="34.5" customHeight="1" x14ac:dyDescent="0.25">
      <c r="A2" s="21" t="s">
        <v>11</v>
      </c>
      <c r="B2" s="22" t="s">
        <v>2</v>
      </c>
      <c r="C2" s="23" t="s">
        <v>12</v>
      </c>
      <c r="D2" s="24" t="s">
        <v>13</v>
      </c>
      <c r="E2" s="25" t="s">
        <v>14</v>
      </c>
      <c r="F2" s="26" t="s">
        <v>15</v>
      </c>
      <c r="H2" s="51" t="s">
        <v>16</v>
      </c>
      <c r="I2" s="52"/>
      <c r="J2" s="53"/>
    </row>
    <row r="3" spans="1:10" ht="24" customHeight="1" x14ac:dyDescent="0.25">
      <c r="A3" s="28">
        <f>IF(Table1[[#This Row],[Day]]="","",ROW(1:1))</f>
        <v>1</v>
      </c>
      <c r="B3" s="29" t="str">
        <f>IF(Table1[[#This Row],[Income Date]]="","",TEXT(Table1[[#This Row],[Income Date]],"ddd"))</f>
        <v>Wed</v>
      </c>
      <c r="C3" s="30">
        <v>44013</v>
      </c>
      <c r="D3" s="31"/>
      <c r="E3" s="32"/>
      <c r="F3" s="33"/>
      <c r="H3" s="54">
        <f>SUM(D:D)</f>
        <v>0</v>
      </c>
      <c r="I3" s="55"/>
      <c r="J3" s="34" t="s">
        <v>8</v>
      </c>
    </row>
  </sheetData>
  <mergeCells count="2">
    <mergeCell ref="H2:J2"/>
    <mergeCell ref="H3:I3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M367"/>
  <sheetViews>
    <sheetView workbookViewId="0">
      <selection activeCell="Q21" sqref="Q21"/>
    </sheetView>
  </sheetViews>
  <sheetFormatPr defaultRowHeight="15" x14ac:dyDescent="0.25"/>
  <cols>
    <col min="1" max="1" width="12.7109375" style="19" customWidth="1"/>
    <col min="2" max="2" width="18" style="19" customWidth="1"/>
    <col min="3" max="3" width="17.42578125" style="19" customWidth="1"/>
    <col min="4" max="4" width="16.28515625" style="20" customWidth="1"/>
    <col min="5" max="5" width="18.5703125" style="20" customWidth="1"/>
    <col min="7" max="7" width="6.7109375" customWidth="1"/>
    <col min="8" max="8" width="7.140625" customWidth="1"/>
    <col min="9" max="9" width="12.140625" customWidth="1"/>
    <col min="10" max="10" width="8.28515625" customWidth="1"/>
    <col min="11" max="11" width="13.7109375" customWidth="1"/>
    <col min="12" max="12" width="5.28515625" customWidth="1"/>
    <col min="13" max="13" width="8" customWidth="1"/>
  </cols>
  <sheetData>
    <row r="1" spans="1:13" s="3" customFormat="1" ht="24.75" customHeight="1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G1" s="4"/>
      <c r="H1" s="56" t="s">
        <v>5</v>
      </c>
      <c r="I1" s="57"/>
      <c r="J1" s="57"/>
      <c r="K1" s="57"/>
      <c r="L1" s="58"/>
      <c r="M1" s="5"/>
    </row>
    <row r="2" spans="1:13" ht="17.25" customHeight="1" x14ac:dyDescent="0.25">
      <c r="A2" s="6">
        <v>1</v>
      </c>
      <c r="B2" s="7">
        <v>44287</v>
      </c>
      <c r="C2" s="8" t="str">
        <f>TEXT(B2,"ddd")</f>
        <v>Thu</v>
      </c>
      <c r="D2" s="9">
        <f>SUMIF(Income!C:C,DayBook!B2,Income!D:D)</f>
        <v>0</v>
      </c>
      <c r="E2" s="9">
        <f>SUMIF(Expense!B:B,DayBook!B2,Expense!C:C)</f>
        <v>0</v>
      </c>
      <c r="G2" s="10"/>
      <c r="H2" s="59"/>
      <c r="I2" s="60"/>
      <c r="J2" s="60"/>
      <c r="K2" s="60"/>
      <c r="L2" s="61"/>
      <c r="M2" s="11"/>
    </row>
    <row r="3" spans="1:13" ht="24" customHeight="1" x14ac:dyDescent="0.25">
      <c r="A3" s="6">
        <v>2</v>
      </c>
      <c r="B3" s="7">
        <v>44288</v>
      </c>
      <c r="C3" s="8" t="str">
        <f t="shared" ref="C3:C66" si="0">TEXT(B3,"ddd")</f>
        <v>Fri</v>
      </c>
      <c r="D3" s="9">
        <f>SUMIF(Income!C:C,DayBook!B3,Income!D:D)</f>
        <v>0</v>
      </c>
      <c r="E3" s="9">
        <f>SUMIF(Expense!B:B,DayBook!B3,Expense!C:C)</f>
        <v>0</v>
      </c>
      <c r="G3" s="62" t="s">
        <v>6</v>
      </c>
      <c r="H3" s="63"/>
      <c r="I3" s="63"/>
      <c r="J3" s="63"/>
      <c r="K3" s="63"/>
      <c r="L3" s="63"/>
      <c r="M3" s="64"/>
    </row>
    <row r="4" spans="1:13" ht="17.25" customHeight="1" x14ac:dyDescent="0.25">
      <c r="A4" s="6">
        <v>3</v>
      </c>
      <c r="B4" s="7">
        <v>44289</v>
      </c>
      <c r="C4" s="8" t="str">
        <f t="shared" si="0"/>
        <v>Sat</v>
      </c>
      <c r="D4" s="9">
        <f>SUMIF(Income!C:C,DayBook!B4,Income!D:D)</f>
        <v>0</v>
      </c>
      <c r="E4" s="9">
        <f>SUMIF(Expense!B:B,DayBook!B4,Expense!C:C)</f>
        <v>0</v>
      </c>
      <c r="G4" s="10"/>
      <c r="H4" s="12"/>
      <c r="I4" s="65" t="s">
        <v>7</v>
      </c>
      <c r="J4" s="65"/>
      <c r="K4" s="65"/>
      <c r="L4" s="12"/>
      <c r="M4" s="11"/>
    </row>
    <row r="5" spans="1:13" ht="19.5" customHeight="1" x14ac:dyDescent="0.25">
      <c r="A5" s="6">
        <v>4</v>
      </c>
      <c r="B5" s="7">
        <v>44290</v>
      </c>
      <c r="C5" s="8" t="str">
        <f t="shared" si="0"/>
        <v>Sun</v>
      </c>
      <c r="D5" s="9">
        <f>SUMIF(Income!C:C,DayBook!B5,Income!D:D)</f>
        <v>0</v>
      </c>
      <c r="E5" s="9">
        <f>SUMIF(Expense!B:B,DayBook!B5,Expense!C:C)</f>
        <v>0</v>
      </c>
      <c r="G5" s="10"/>
      <c r="H5" s="12"/>
      <c r="I5" s="65"/>
      <c r="J5" s="65"/>
      <c r="K5" s="65"/>
      <c r="L5" s="12"/>
      <c r="M5" s="11"/>
    </row>
    <row r="6" spans="1:13" x14ac:dyDescent="0.25">
      <c r="A6" s="6">
        <v>5</v>
      </c>
      <c r="B6" s="7">
        <v>44291</v>
      </c>
      <c r="C6" s="8" t="str">
        <f t="shared" si="0"/>
        <v>Mon</v>
      </c>
      <c r="D6" s="9">
        <f>SUMIF(Income!C:C,DayBook!B6,Income!D:D)</f>
        <v>0</v>
      </c>
      <c r="E6" s="9">
        <f>SUMIF(Expense!B:B,DayBook!B6,Expense!C:C)</f>
        <v>0</v>
      </c>
      <c r="G6" s="10"/>
      <c r="H6" s="12"/>
      <c r="I6" s="66">
        <v>44294</v>
      </c>
      <c r="J6" s="66"/>
      <c r="K6" s="66"/>
      <c r="L6" s="12"/>
      <c r="M6" s="11"/>
    </row>
    <row r="7" spans="1:13" x14ac:dyDescent="0.25">
      <c r="A7" s="6">
        <v>6</v>
      </c>
      <c r="B7" s="7">
        <v>44292</v>
      </c>
      <c r="C7" s="8" t="str">
        <f t="shared" si="0"/>
        <v>Tue</v>
      </c>
      <c r="D7" s="9">
        <f>SUMIF(Income!C:C,DayBook!B7,Income!D:D)</f>
        <v>0</v>
      </c>
      <c r="E7" s="9">
        <f>SUMIF(Expense!B:B,DayBook!B7,Expense!C:C)</f>
        <v>0</v>
      </c>
      <c r="G7" s="10"/>
      <c r="H7" s="12"/>
      <c r="I7" s="66"/>
      <c r="J7" s="66"/>
      <c r="K7" s="66"/>
      <c r="L7" s="12"/>
      <c r="M7" s="11"/>
    </row>
    <row r="8" spans="1:13" x14ac:dyDescent="0.25">
      <c r="A8" s="6">
        <v>7</v>
      </c>
      <c r="B8" s="7">
        <v>44293</v>
      </c>
      <c r="C8" s="8" t="str">
        <f t="shared" si="0"/>
        <v>Wed</v>
      </c>
      <c r="D8" s="9">
        <f>SUMIF(Income!C:C,DayBook!B8,Income!D:D)</f>
        <v>0</v>
      </c>
      <c r="E8" s="9">
        <f>SUMIF(Expense!B:B,DayBook!B8,Expense!C:C)</f>
        <v>0</v>
      </c>
      <c r="G8" s="10"/>
      <c r="H8" s="12"/>
      <c r="I8" s="12"/>
      <c r="J8" s="12"/>
      <c r="K8" s="12"/>
      <c r="L8" s="12"/>
      <c r="M8" s="11"/>
    </row>
    <row r="9" spans="1:13" x14ac:dyDescent="0.25">
      <c r="A9" s="6">
        <v>8</v>
      </c>
      <c r="B9" s="7">
        <v>44294</v>
      </c>
      <c r="C9" s="8" t="str">
        <f t="shared" si="0"/>
        <v>Thu</v>
      </c>
      <c r="D9" s="9">
        <f>SUMIF(Income!C:C,DayBook!B9,Income!D:D)</f>
        <v>0</v>
      </c>
      <c r="E9" s="9">
        <f>SUMIF(Expense!B:B,DayBook!B9,Expense!C:C)</f>
        <v>0</v>
      </c>
      <c r="G9" s="10"/>
      <c r="H9" s="12"/>
      <c r="I9" s="12"/>
      <c r="J9" s="12"/>
      <c r="K9" s="12"/>
      <c r="L9" s="12"/>
      <c r="M9" s="11"/>
    </row>
    <row r="10" spans="1:13" x14ac:dyDescent="0.25">
      <c r="A10" s="6">
        <v>9</v>
      </c>
      <c r="B10" s="7">
        <v>44295</v>
      </c>
      <c r="C10" s="8" t="str">
        <f t="shared" si="0"/>
        <v>Fri</v>
      </c>
      <c r="D10" s="9">
        <f>SUMIF(Income!C:C,DayBook!B10,Income!D:D)</f>
        <v>0</v>
      </c>
      <c r="E10" s="9">
        <f>SUMIF(Expense!B:B,DayBook!B10,Expense!C:C)</f>
        <v>0</v>
      </c>
      <c r="G10" s="10"/>
      <c r="H10" s="67" t="s">
        <v>3</v>
      </c>
      <c r="I10" s="68"/>
      <c r="J10" s="71">
        <f>IFERROR(VLOOKUP($I$6,daybook,3,0),"")</f>
        <v>0</v>
      </c>
      <c r="K10" s="72"/>
      <c r="L10" s="75" t="s">
        <v>8</v>
      </c>
      <c r="M10" s="11"/>
    </row>
    <row r="11" spans="1:13" x14ac:dyDescent="0.25">
      <c r="A11" s="6">
        <v>10</v>
      </c>
      <c r="B11" s="7">
        <v>44296</v>
      </c>
      <c r="C11" s="8" t="str">
        <f t="shared" si="0"/>
        <v>Sat</v>
      </c>
      <c r="D11" s="9">
        <f>SUMIF(Income!C:C,DayBook!B11,Income!D:D)</f>
        <v>0</v>
      </c>
      <c r="E11" s="9">
        <f>SUMIF(Expense!B:B,DayBook!B11,Expense!C:C)</f>
        <v>0</v>
      </c>
      <c r="G11" s="10"/>
      <c r="H11" s="69"/>
      <c r="I11" s="70"/>
      <c r="J11" s="73"/>
      <c r="K11" s="74"/>
      <c r="L11" s="76"/>
      <c r="M11" s="11"/>
    </row>
    <row r="12" spans="1:13" x14ac:dyDescent="0.25">
      <c r="A12" s="6">
        <v>11</v>
      </c>
      <c r="B12" s="7">
        <v>44297</v>
      </c>
      <c r="C12" s="8" t="str">
        <f t="shared" si="0"/>
        <v>Sun</v>
      </c>
      <c r="D12" s="9">
        <f>SUMIF(Income!C:C,DayBook!B12,Income!D:D)</f>
        <v>0</v>
      </c>
      <c r="E12" s="9">
        <f>SUMIF(Expense!B:B,DayBook!B12,Expense!C:C)</f>
        <v>0</v>
      </c>
      <c r="G12" s="10"/>
      <c r="H12" s="12"/>
      <c r="I12" s="12"/>
      <c r="J12" s="12"/>
      <c r="K12" s="12"/>
      <c r="L12" s="12"/>
      <c r="M12" s="11"/>
    </row>
    <row r="13" spans="1:13" x14ac:dyDescent="0.25">
      <c r="A13" s="6">
        <v>12</v>
      </c>
      <c r="B13" s="7">
        <v>44298</v>
      </c>
      <c r="C13" s="8" t="str">
        <f t="shared" si="0"/>
        <v>Mon</v>
      </c>
      <c r="D13" s="9">
        <f>SUMIF(Income!C:C,DayBook!B13,Income!D:D)</f>
        <v>0</v>
      </c>
      <c r="E13" s="9">
        <f>SUMIF(Expense!B:B,DayBook!B13,Expense!C:C)</f>
        <v>0</v>
      </c>
      <c r="G13" s="10"/>
      <c r="H13" s="67" t="s">
        <v>9</v>
      </c>
      <c r="I13" s="68"/>
      <c r="J13" s="71">
        <f>IFERROR(VLOOKUP($I$6,daybook,4,0),"")</f>
        <v>0</v>
      </c>
      <c r="K13" s="72"/>
      <c r="L13" s="75" t="s">
        <v>8</v>
      </c>
      <c r="M13" s="11"/>
    </row>
    <row r="14" spans="1:13" x14ac:dyDescent="0.25">
      <c r="A14" s="6">
        <v>13</v>
      </c>
      <c r="B14" s="7">
        <v>44299</v>
      </c>
      <c r="C14" s="8" t="str">
        <f t="shared" si="0"/>
        <v>Tue</v>
      </c>
      <c r="D14" s="9">
        <f>SUMIF(Income!C:C,DayBook!B14,Income!D:D)</f>
        <v>0</v>
      </c>
      <c r="E14" s="9">
        <f>SUMIF(Expense!B:B,DayBook!B14,Expense!C:C)</f>
        <v>0</v>
      </c>
      <c r="G14" s="10"/>
      <c r="H14" s="69"/>
      <c r="I14" s="70"/>
      <c r="J14" s="73"/>
      <c r="K14" s="74"/>
      <c r="L14" s="76"/>
      <c r="M14" s="11"/>
    </row>
    <row r="15" spans="1:13" x14ac:dyDescent="0.25">
      <c r="A15" s="6">
        <v>14</v>
      </c>
      <c r="B15" s="7">
        <v>44300</v>
      </c>
      <c r="C15" s="8" t="str">
        <f t="shared" si="0"/>
        <v>Wed</v>
      </c>
      <c r="D15" s="9">
        <f>SUMIF(Income!C:C,DayBook!B15,Income!D:D)</f>
        <v>0</v>
      </c>
      <c r="E15" s="9">
        <f>SUMIF(Expense!B:B,DayBook!B15,Expense!C:C)</f>
        <v>0</v>
      </c>
      <c r="G15" s="10"/>
      <c r="H15" s="12"/>
      <c r="I15" s="12"/>
      <c r="J15" s="12"/>
      <c r="K15" s="12"/>
      <c r="L15" s="12"/>
      <c r="M15" s="11"/>
    </row>
    <row r="16" spans="1:13" x14ac:dyDescent="0.25">
      <c r="A16" s="6">
        <v>15</v>
      </c>
      <c r="B16" s="7">
        <v>44301</v>
      </c>
      <c r="C16" s="8" t="str">
        <f t="shared" si="0"/>
        <v>Thu</v>
      </c>
      <c r="D16" s="9">
        <f>SUMIF(Income!C:C,DayBook!B16,Income!D:D)</f>
        <v>0</v>
      </c>
      <c r="E16" s="9">
        <f>SUMIF(Expense!B:B,DayBook!B16,Expense!C:C)</f>
        <v>0</v>
      </c>
      <c r="G16" s="10"/>
      <c r="H16" s="12"/>
      <c r="I16" s="12"/>
      <c r="J16" s="12"/>
      <c r="K16" s="12"/>
      <c r="L16" s="12"/>
      <c r="M16" s="11"/>
    </row>
    <row r="17" spans="1:13" x14ac:dyDescent="0.25">
      <c r="A17" s="6">
        <v>16</v>
      </c>
      <c r="B17" s="7">
        <v>44302</v>
      </c>
      <c r="C17" s="8" t="str">
        <f t="shared" si="0"/>
        <v>Fri</v>
      </c>
      <c r="D17" s="9">
        <f>SUMIF(Income!C:C,DayBook!B17,Income!D:D)</f>
        <v>0</v>
      </c>
      <c r="E17" s="9">
        <f>SUMIF(Expense!B:B,DayBook!B17,Expense!C:C)</f>
        <v>0</v>
      </c>
      <c r="G17" s="10"/>
      <c r="H17" s="67" t="s">
        <v>10</v>
      </c>
      <c r="I17" s="68"/>
      <c r="J17" s="83">
        <f>SUM(J10-J13)</f>
        <v>0</v>
      </c>
      <c r="K17" s="84"/>
      <c r="L17" s="75" t="s">
        <v>8</v>
      </c>
      <c r="M17" s="11"/>
    </row>
    <row r="18" spans="1:13" x14ac:dyDescent="0.25">
      <c r="A18" s="6">
        <v>17</v>
      </c>
      <c r="B18" s="7">
        <v>44303</v>
      </c>
      <c r="C18" s="8" t="str">
        <f t="shared" si="0"/>
        <v>Sat</v>
      </c>
      <c r="D18" s="9">
        <f>SUMIF(Income!C:C,DayBook!B18,Income!D:D)</f>
        <v>0</v>
      </c>
      <c r="E18" s="9">
        <f>SUMIF(Expense!B:B,DayBook!B18,Expense!C:C)</f>
        <v>0</v>
      </c>
      <c r="G18" s="10"/>
      <c r="H18" s="69"/>
      <c r="I18" s="70"/>
      <c r="J18" s="85"/>
      <c r="K18" s="86"/>
      <c r="L18" s="76"/>
      <c r="M18" s="11"/>
    </row>
    <row r="19" spans="1:13" x14ac:dyDescent="0.25">
      <c r="A19" s="6">
        <v>18</v>
      </c>
      <c r="B19" s="7">
        <v>44304</v>
      </c>
      <c r="C19" s="8" t="str">
        <f t="shared" si="0"/>
        <v>Sun</v>
      </c>
      <c r="D19" s="9">
        <f>SUMIF(Income!C:C,DayBook!B19,Income!D:D)</f>
        <v>0</v>
      </c>
      <c r="E19" s="9">
        <f>SUMIF(Expense!B:B,DayBook!B19,Expense!C:C)</f>
        <v>0</v>
      </c>
      <c r="G19" s="10"/>
      <c r="H19" s="12"/>
      <c r="I19" s="12"/>
      <c r="J19" s="13"/>
      <c r="K19" s="14"/>
      <c r="L19" s="15"/>
      <c r="M19" s="11"/>
    </row>
    <row r="20" spans="1:13" ht="15" customHeight="1" x14ac:dyDescent="0.25">
      <c r="A20" s="6">
        <v>19</v>
      </c>
      <c r="B20" s="7">
        <v>44305</v>
      </c>
      <c r="C20" s="8" t="str">
        <f t="shared" si="0"/>
        <v>Mon</v>
      </c>
      <c r="D20" s="9">
        <f>SUMIF(Income!C:C,DayBook!B20,Income!D:D)</f>
        <v>0</v>
      </c>
      <c r="E20" s="9">
        <f>SUMIF(Expense!B:B,DayBook!B20,Expense!C:C)</f>
        <v>0</v>
      </c>
      <c r="G20" s="10"/>
      <c r="H20" s="12"/>
      <c r="I20" s="12"/>
      <c r="J20" s="77" t="str">
        <f>IF(J10&gt;J13,"Profit","Loss")</f>
        <v>Loss</v>
      </c>
      <c r="K20" s="78"/>
      <c r="L20" s="79"/>
      <c r="M20" s="11"/>
    </row>
    <row r="21" spans="1:13" ht="15" customHeight="1" x14ac:dyDescent="0.25">
      <c r="A21" s="6">
        <v>20</v>
      </c>
      <c r="B21" s="7">
        <v>44306</v>
      </c>
      <c r="C21" s="8" t="str">
        <f t="shared" si="0"/>
        <v>Tue</v>
      </c>
      <c r="D21" s="9">
        <f>SUMIF(Income!C:C,DayBook!B21,Income!D:D)</f>
        <v>0</v>
      </c>
      <c r="E21" s="9">
        <f>SUMIF(Expense!B:B,DayBook!B21,Expense!C:C)</f>
        <v>0</v>
      </c>
      <c r="G21" s="10"/>
      <c r="H21" s="12"/>
      <c r="I21" s="12"/>
      <c r="J21" s="80"/>
      <c r="K21" s="81"/>
      <c r="L21" s="82"/>
      <c r="M21" s="11"/>
    </row>
    <row r="22" spans="1:13" x14ac:dyDescent="0.25">
      <c r="A22" s="6">
        <v>21</v>
      </c>
      <c r="B22" s="7">
        <v>44307</v>
      </c>
      <c r="C22" s="8" t="str">
        <f t="shared" si="0"/>
        <v>Wed</v>
      </c>
      <c r="D22" s="9">
        <f>SUMIF(Income!C:C,DayBook!B22,Income!D:D)</f>
        <v>0</v>
      </c>
      <c r="E22" s="9">
        <f>SUMIF(Expense!B:B,DayBook!B22,Expense!C:C)</f>
        <v>0</v>
      </c>
      <c r="G22" s="10"/>
      <c r="H22" s="12"/>
      <c r="I22" s="12"/>
      <c r="J22" s="12"/>
      <c r="K22" s="12"/>
      <c r="L22" s="12"/>
      <c r="M22" s="11"/>
    </row>
    <row r="23" spans="1:13" x14ac:dyDescent="0.25">
      <c r="A23" s="6">
        <v>22</v>
      </c>
      <c r="B23" s="7">
        <v>44308</v>
      </c>
      <c r="C23" s="8" t="str">
        <f t="shared" si="0"/>
        <v>Thu</v>
      </c>
      <c r="D23" s="9">
        <f>SUMIF(Income!C:C,DayBook!B23,Income!D:D)</f>
        <v>0</v>
      </c>
      <c r="E23" s="9">
        <f>SUMIF(Expense!B:B,DayBook!B23,Expense!C:C)</f>
        <v>0</v>
      </c>
      <c r="G23" s="16"/>
      <c r="H23" s="17"/>
      <c r="I23" s="17"/>
      <c r="J23" s="17"/>
      <c r="K23" s="17"/>
      <c r="L23" s="17"/>
      <c r="M23" s="18"/>
    </row>
    <row r="24" spans="1:13" x14ac:dyDescent="0.25">
      <c r="A24" s="6">
        <v>23</v>
      </c>
      <c r="B24" s="7">
        <v>44309</v>
      </c>
      <c r="C24" s="8" t="str">
        <f t="shared" si="0"/>
        <v>Fri</v>
      </c>
      <c r="D24" s="9">
        <f>SUMIF(Income!C:C,DayBook!B24,Income!D:D)</f>
        <v>0</v>
      </c>
      <c r="E24" s="9">
        <f>SUMIF(Expense!B:B,DayBook!B24,Expense!C:C)</f>
        <v>0</v>
      </c>
    </row>
    <row r="25" spans="1:13" x14ac:dyDescent="0.25">
      <c r="A25" s="6">
        <v>24</v>
      </c>
      <c r="B25" s="7">
        <v>44310</v>
      </c>
      <c r="C25" s="8" t="str">
        <f t="shared" si="0"/>
        <v>Sat</v>
      </c>
      <c r="D25" s="9">
        <f>SUMIF(Income!C:C,DayBook!B25,Income!D:D)</f>
        <v>0</v>
      </c>
      <c r="E25" s="9">
        <f>SUMIF(Expense!B:B,DayBook!B25,Expense!C:C)</f>
        <v>0</v>
      </c>
    </row>
    <row r="26" spans="1:13" x14ac:dyDescent="0.25">
      <c r="A26" s="6">
        <v>25</v>
      </c>
      <c r="B26" s="7">
        <v>44311</v>
      </c>
      <c r="C26" s="8" t="str">
        <f t="shared" si="0"/>
        <v>Sun</v>
      </c>
      <c r="D26" s="9">
        <f>SUMIF(Income!C:C,DayBook!B26,Income!D:D)</f>
        <v>0</v>
      </c>
      <c r="E26" s="9">
        <f>SUMIF(Expense!B:B,DayBook!B26,Expense!C:C)</f>
        <v>0</v>
      </c>
    </row>
    <row r="27" spans="1:13" x14ac:dyDescent="0.25">
      <c r="A27" s="6">
        <v>26</v>
      </c>
      <c r="B27" s="7">
        <v>44312</v>
      </c>
      <c r="C27" s="8" t="str">
        <f t="shared" si="0"/>
        <v>Mon</v>
      </c>
      <c r="D27" s="9">
        <f>SUMIF(Income!C:C,DayBook!B27,Income!D:D)</f>
        <v>0</v>
      </c>
      <c r="E27" s="9">
        <f>SUMIF(Expense!B:B,DayBook!B27,Expense!C:C)</f>
        <v>0</v>
      </c>
    </row>
    <row r="28" spans="1:13" x14ac:dyDescent="0.25">
      <c r="A28" s="6">
        <v>27</v>
      </c>
      <c r="B28" s="7">
        <v>44313</v>
      </c>
      <c r="C28" s="8" t="str">
        <f t="shared" si="0"/>
        <v>Tue</v>
      </c>
      <c r="D28" s="9">
        <f>SUMIF(Income!C:C,DayBook!B28,Income!D:D)</f>
        <v>0</v>
      </c>
      <c r="E28" s="9">
        <f>SUMIF(Expense!B:B,DayBook!B28,Expense!C:C)</f>
        <v>0</v>
      </c>
    </row>
    <row r="29" spans="1:13" x14ac:dyDescent="0.25">
      <c r="A29" s="6">
        <v>28</v>
      </c>
      <c r="B29" s="7">
        <v>44314</v>
      </c>
      <c r="C29" s="8" t="str">
        <f t="shared" si="0"/>
        <v>Wed</v>
      </c>
      <c r="D29" s="9">
        <f>SUMIF(Income!C:C,DayBook!B29,Income!D:D)</f>
        <v>0</v>
      </c>
      <c r="E29" s="9">
        <f>SUMIF(Expense!B:B,DayBook!B29,Expense!C:C)</f>
        <v>0</v>
      </c>
    </row>
    <row r="30" spans="1:13" x14ac:dyDescent="0.25">
      <c r="A30" s="6">
        <v>29</v>
      </c>
      <c r="B30" s="7">
        <v>44315</v>
      </c>
      <c r="C30" s="8" t="str">
        <f t="shared" si="0"/>
        <v>Thu</v>
      </c>
      <c r="D30" s="9">
        <f>SUMIF(Income!C:C,DayBook!B30,Income!D:D)</f>
        <v>0</v>
      </c>
      <c r="E30" s="9">
        <f>SUMIF(Expense!B:B,DayBook!B30,Expense!C:C)</f>
        <v>0</v>
      </c>
    </row>
    <row r="31" spans="1:13" x14ac:dyDescent="0.25">
      <c r="A31" s="6">
        <v>30</v>
      </c>
      <c r="B31" s="7">
        <v>44316</v>
      </c>
      <c r="C31" s="8" t="str">
        <f t="shared" si="0"/>
        <v>Fri</v>
      </c>
      <c r="D31" s="9">
        <f>SUMIF(Income!C:C,DayBook!B31,Income!D:D)</f>
        <v>0</v>
      </c>
      <c r="E31" s="9">
        <f>SUMIF(Expense!B:B,DayBook!B31,Expense!C:C)</f>
        <v>0</v>
      </c>
    </row>
    <row r="32" spans="1:13" x14ac:dyDescent="0.25">
      <c r="A32" s="6">
        <v>31</v>
      </c>
      <c r="B32" s="7">
        <v>44317</v>
      </c>
      <c r="C32" s="8" t="str">
        <f t="shared" si="0"/>
        <v>Sat</v>
      </c>
      <c r="D32" s="9">
        <f>SUMIF(Income!C:C,DayBook!B32,Income!D:D)</f>
        <v>0</v>
      </c>
      <c r="E32" s="9">
        <f>SUMIF(Expense!B:B,DayBook!B32,Expense!C:C)</f>
        <v>0</v>
      </c>
    </row>
    <row r="33" spans="1:5" x14ac:dyDescent="0.25">
      <c r="A33" s="6">
        <v>32</v>
      </c>
      <c r="B33" s="7">
        <v>44318</v>
      </c>
      <c r="C33" s="8" t="str">
        <f t="shared" si="0"/>
        <v>Sun</v>
      </c>
      <c r="D33" s="9">
        <f>SUMIF(Income!C:C,DayBook!B33,Income!D:D)</f>
        <v>0</v>
      </c>
      <c r="E33" s="9">
        <f>SUMIF(Expense!B:B,DayBook!B33,Expense!C:C)</f>
        <v>0</v>
      </c>
    </row>
    <row r="34" spans="1:5" x14ac:dyDescent="0.25">
      <c r="A34" s="6">
        <v>33</v>
      </c>
      <c r="B34" s="7">
        <v>44319</v>
      </c>
      <c r="C34" s="8" t="str">
        <f t="shared" si="0"/>
        <v>Mon</v>
      </c>
      <c r="D34" s="9">
        <f>SUMIF(Income!C:C,DayBook!B34,Income!D:D)</f>
        <v>0</v>
      </c>
      <c r="E34" s="9">
        <f>SUMIF(Expense!B:B,DayBook!B34,Expense!C:C)</f>
        <v>0</v>
      </c>
    </row>
    <row r="35" spans="1:5" x14ac:dyDescent="0.25">
      <c r="A35" s="6">
        <v>34</v>
      </c>
      <c r="B35" s="7">
        <v>44320</v>
      </c>
      <c r="C35" s="8" t="str">
        <f t="shared" si="0"/>
        <v>Tue</v>
      </c>
      <c r="D35" s="9">
        <f>SUMIF(Income!C:C,DayBook!B35,Income!D:D)</f>
        <v>0</v>
      </c>
      <c r="E35" s="9">
        <f>SUMIF(Expense!B:B,DayBook!B35,Expense!C:C)</f>
        <v>0</v>
      </c>
    </row>
    <row r="36" spans="1:5" x14ac:dyDescent="0.25">
      <c r="A36" s="6">
        <v>35</v>
      </c>
      <c r="B36" s="7">
        <v>44321</v>
      </c>
      <c r="C36" s="8" t="str">
        <f t="shared" si="0"/>
        <v>Wed</v>
      </c>
      <c r="D36" s="9">
        <f>SUMIF(Income!C:C,DayBook!B36,Income!D:D)</f>
        <v>0</v>
      </c>
      <c r="E36" s="9">
        <f>SUMIF(Expense!B:B,DayBook!B36,Expense!C:C)</f>
        <v>0</v>
      </c>
    </row>
    <row r="37" spans="1:5" x14ac:dyDescent="0.25">
      <c r="A37" s="6">
        <v>36</v>
      </c>
      <c r="B37" s="7">
        <v>44322</v>
      </c>
      <c r="C37" s="8" t="str">
        <f t="shared" si="0"/>
        <v>Thu</v>
      </c>
      <c r="D37" s="9">
        <f>SUMIF(Income!C:C,DayBook!B37,Income!D:D)</f>
        <v>0</v>
      </c>
      <c r="E37" s="9">
        <f>SUMIF(Expense!B:B,DayBook!B37,Expense!C:C)</f>
        <v>0</v>
      </c>
    </row>
    <row r="38" spans="1:5" x14ac:dyDescent="0.25">
      <c r="A38" s="6">
        <v>37</v>
      </c>
      <c r="B38" s="7">
        <v>44323</v>
      </c>
      <c r="C38" s="8" t="str">
        <f t="shared" si="0"/>
        <v>Fri</v>
      </c>
      <c r="D38" s="9">
        <f>SUMIF(Income!C:C,DayBook!B38,Income!D:D)</f>
        <v>0</v>
      </c>
      <c r="E38" s="9">
        <f>SUMIF(Expense!B:B,DayBook!B38,Expense!C:C)</f>
        <v>0</v>
      </c>
    </row>
    <row r="39" spans="1:5" x14ac:dyDescent="0.25">
      <c r="A39" s="6">
        <v>38</v>
      </c>
      <c r="B39" s="7">
        <v>44324</v>
      </c>
      <c r="C39" s="8" t="str">
        <f t="shared" si="0"/>
        <v>Sat</v>
      </c>
      <c r="D39" s="9">
        <f>SUMIF(Income!C:C,DayBook!B39,Income!D:D)</f>
        <v>0</v>
      </c>
      <c r="E39" s="9">
        <f>SUMIF(Expense!B:B,DayBook!B39,Expense!C:C)</f>
        <v>0</v>
      </c>
    </row>
    <row r="40" spans="1:5" x14ac:dyDescent="0.25">
      <c r="A40" s="6">
        <v>39</v>
      </c>
      <c r="B40" s="7">
        <v>44325</v>
      </c>
      <c r="C40" s="8" t="str">
        <f t="shared" si="0"/>
        <v>Sun</v>
      </c>
      <c r="D40" s="9">
        <f>SUMIF(Income!C:C,DayBook!B40,Income!D:D)</f>
        <v>0</v>
      </c>
      <c r="E40" s="9">
        <f>SUMIF(Expense!B:B,DayBook!B40,Expense!C:C)</f>
        <v>0</v>
      </c>
    </row>
    <row r="41" spans="1:5" x14ac:dyDescent="0.25">
      <c r="A41" s="6">
        <v>40</v>
      </c>
      <c r="B41" s="7">
        <v>44326</v>
      </c>
      <c r="C41" s="8" t="str">
        <f t="shared" si="0"/>
        <v>Mon</v>
      </c>
      <c r="D41" s="9">
        <f>SUMIF(Income!C:C,DayBook!B41,Income!D:D)</f>
        <v>0</v>
      </c>
      <c r="E41" s="9">
        <f>SUMIF(Expense!B:B,DayBook!B41,Expense!C:C)</f>
        <v>0</v>
      </c>
    </row>
    <row r="42" spans="1:5" x14ac:dyDescent="0.25">
      <c r="A42" s="6">
        <v>41</v>
      </c>
      <c r="B42" s="7">
        <v>44327</v>
      </c>
      <c r="C42" s="8" t="str">
        <f t="shared" si="0"/>
        <v>Tue</v>
      </c>
      <c r="D42" s="9">
        <f>SUMIF(Income!C:C,DayBook!B42,Income!D:D)</f>
        <v>0</v>
      </c>
      <c r="E42" s="9">
        <f>SUMIF(Expense!B:B,DayBook!B42,Expense!C:C)</f>
        <v>0</v>
      </c>
    </row>
    <row r="43" spans="1:5" x14ac:dyDescent="0.25">
      <c r="A43" s="6">
        <v>42</v>
      </c>
      <c r="B43" s="7">
        <v>44328</v>
      </c>
      <c r="C43" s="8" t="str">
        <f t="shared" si="0"/>
        <v>Wed</v>
      </c>
      <c r="D43" s="9">
        <f>SUMIF(Income!C:C,DayBook!B43,Income!D:D)</f>
        <v>0</v>
      </c>
      <c r="E43" s="9">
        <f>SUMIF(Expense!B:B,DayBook!B43,Expense!C:C)</f>
        <v>0</v>
      </c>
    </row>
    <row r="44" spans="1:5" x14ac:dyDescent="0.25">
      <c r="A44" s="6">
        <v>43</v>
      </c>
      <c r="B44" s="7">
        <v>44329</v>
      </c>
      <c r="C44" s="8" t="str">
        <f t="shared" si="0"/>
        <v>Thu</v>
      </c>
      <c r="D44" s="9">
        <f>SUMIF(Income!C:C,DayBook!B44,Income!D:D)</f>
        <v>0</v>
      </c>
      <c r="E44" s="9">
        <f>SUMIF(Expense!B:B,DayBook!B44,Expense!C:C)</f>
        <v>0</v>
      </c>
    </row>
    <row r="45" spans="1:5" x14ac:dyDescent="0.25">
      <c r="A45" s="6">
        <v>44</v>
      </c>
      <c r="B45" s="7">
        <v>44330</v>
      </c>
      <c r="C45" s="8" t="str">
        <f t="shared" si="0"/>
        <v>Fri</v>
      </c>
      <c r="D45" s="9">
        <f>SUMIF(Income!C:C,DayBook!B45,Income!D:D)</f>
        <v>0</v>
      </c>
      <c r="E45" s="9">
        <f>SUMIF(Expense!B:B,DayBook!B45,Expense!C:C)</f>
        <v>0</v>
      </c>
    </row>
    <row r="46" spans="1:5" x14ac:dyDescent="0.25">
      <c r="A46" s="6">
        <v>45</v>
      </c>
      <c r="B46" s="7">
        <v>44331</v>
      </c>
      <c r="C46" s="8" t="str">
        <f t="shared" si="0"/>
        <v>Sat</v>
      </c>
      <c r="D46" s="9">
        <f>SUMIF(Income!C:C,DayBook!B46,Income!D:D)</f>
        <v>0</v>
      </c>
      <c r="E46" s="9">
        <f>SUMIF(Expense!B:B,DayBook!B46,Expense!C:C)</f>
        <v>0</v>
      </c>
    </row>
    <row r="47" spans="1:5" x14ac:dyDescent="0.25">
      <c r="A47" s="6">
        <v>46</v>
      </c>
      <c r="B47" s="7">
        <v>44332</v>
      </c>
      <c r="C47" s="8" t="str">
        <f t="shared" si="0"/>
        <v>Sun</v>
      </c>
      <c r="D47" s="9">
        <f>SUMIF(Income!C:C,DayBook!B47,Income!D:D)</f>
        <v>0</v>
      </c>
      <c r="E47" s="9">
        <f>SUMIF(Expense!B:B,DayBook!B47,Expense!C:C)</f>
        <v>0</v>
      </c>
    </row>
    <row r="48" spans="1:5" x14ac:dyDescent="0.25">
      <c r="A48" s="6">
        <v>47</v>
      </c>
      <c r="B48" s="7">
        <v>44333</v>
      </c>
      <c r="C48" s="8" t="str">
        <f t="shared" si="0"/>
        <v>Mon</v>
      </c>
      <c r="D48" s="9">
        <f>SUMIF(Income!C:C,DayBook!B48,Income!D:D)</f>
        <v>0</v>
      </c>
      <c r="E48" s="9">
        <f>SUMIF(Expense!B:B,DayBook!B48,Expense!C:C)</f>
        <v>0</v>
      </c>
    </row>
    <row r="49" spans="1:5" x14ac:dyDescent="0.25">
      <c r="A49" s="6">
        <v>48</v>
      </c>
      <c r="B49" s="7">
        <v>44334</v>
      </c>
      <c r="C49" s="8" t="str">
        <f t="shared" si="0"/>
        <v>Tue</v>
      </c>
      <c r="D49" s="9">
        <f>SUMIF(Income!C:C,DayBook!B49,Income!D:D)</f>
        <v>0</v>
      </c>
      <c r="E49" s="9">
        <f>SUMIF(Expense!B:B,DayBook!B49,Expense!C:C)</f>
        <v>0</v>
      </c>
    </row>
    <row r="50" spans="1:5" x14ac:dyDescent="0.25">
      <c r="A50" s="6">
        <v>49</v>
      </c>
      <c r="B50" s="7">
        <v>44335</v>
      </c>
      <c r="C50" s="8" t="str">
        <f t="shared" si="0"/>
        <v>Wed</v>
      </c>
      <c r="D50" s="9">
        <f>SUMIF(Income!C:C,DayBook!B50,Income!D:D)</f>
        <v>0</v>
      </c>
      <c r="E50" s="9">
        <f>SUMIF(Expense!B:B,DayBook!B50,Expense!C:C)</f>
        <v>0</v>
      </c>
    </row>
    <row r="51" spans="1:5" x14ac:dyDescent="0.25">
      <c r="A51" s="6">
        <v>50</v>
      </c>
      <c r="B51" s="7">
        <v>44336</v>
      </c>
      <c r="C51" s="8" t="str">
        <f t="shared" si="0"/>
        <v>Thu</v>
      </c>
      <c r="D51" s="9">
        <f>SUMIF(Income!C:C,DayBook!B51,Income!D:D)</f>
        <v>0</v>
      </c>
      <c r="E51" s="9">
        <f>SUMIF(Expense!B:B,DayBook!B51,Expense!C:C)</f>
        <v>0</v>
      </c>
    </row>
    <row r="52" spans="1:5" x14ac:dyDescent="0.25">
      <c r="A52" s="6">
        <v>51</v>
      </c>
      <c r="B52" s="7">
        <v>44337</v>
      </c>
      <c r="C52" s="8" t="str">
        <f t="shared" si="0"/>
        <v>Fri</v>
      </c>
      <c r="D52" s="9">
        <f>SUMIF(Income!C:C,DayBook!B52,Income!D:D)</f>
        <v>0</v>
      </c>
      <c r="E52" s="9">
        <f>SUMIF(Expense!B:B,DayBook!B52,Expense!C:C)</f>
        <v>0</v>
      </c>
    </row>
    <row r="53" spans="1:5" x14ac:dyDescent="0.25">
      <c r="A53" s="6">
        <v>52</v>
      </c>
      <c r="B53" s="7">
        <v>44338</v>
      </c>
      <c r="C53" s="8" t="str">
        <f t="shared" si="0"/>
        <v>Sat</v>
      </c>
      <c r="D53" s="9">
        <f>SUMIF(Income!C:C,DayBook!B53,Income!D:D)</f>
        <v>0</v>
      </c>
      <c r="E53" s="9">
        <f>SUMIF(Expense!B:B,DayBook!B53,Expense!C:C)</f>
        <v>0</v>
      </c>
    </row>
    <row r="54" spans="1:5" x14ac:dyDescent="0.25">
      <c r="A54" s="6">
        <v>53</v>
      </c>
      <c r="B54" s="7">
        <v>44339</v>
      </c>
      <c r="C54" s="8" t="str">
        <f t="shared" si="0"/>
        <v>Sun</v>
      </c>
      <c r="D54" s="9">
        <f>SUMIF(Income!C:C,DayBook!B54,Income!D:D)</f>
        <v>0</v>
      </c>
      <c r="E54" s="9">
        <f>SUMIF(Expense!B:B,DayBook!B54,Expense!C:C)</f>
        <v>0</v>
      </c>
    </row>
    <row r="55" spans="1:5" x14ac:dyDescent="0.25">
      <c r="A55" s="6">
        <v>54</v>
      </c>
      <c r="B55" s="7">
        <v>44340</v>
      </c>
      <c r="C55" s="8" t="str">
        <f t="shared" si="0"/>
        <v>Mon</v>
      </c>
      <c r="D55" s="9">
        <f>SUMIF(Income!C:C,DayBook!B55,Income!D:D)</f>
        <v>0</v>
      </c>
      <c r="E55" s="9">
        <f>SUMIF(Expense!B:B,DayBook!B55,Expense!C:C)</f>
        <v>0</v>
      </c>
    </row>
    <row r="56" spans="1:5" x14ac:dyDescent="0.25">
      <c r="A56" s="6">
        <v>55</v>
      </c>
      <c r="B56" s="7">
        <v>44341</v>
      </c>
      <c r="C56" s="8" t="str">
        <f t="shared" si="0"/>
        <v>Tue</v>
      </c>
      <c r="D56" s="9">
        <f>SUMIF(Income!C:C,DayBook!B56,Income!D:D)</f>
        <v>0</v>
      </c>
      <c r="E56" s="9">
        <f>SUMIF(Expense!B:B,DayBook!B56,Expense!C:C)</f>
        <v>0</v>
      </c>
    </row>
    <row r="57" spans="1:5" x14ac:dyDescent="0.25">
      <c r="A57" s="6">
        <v>56</v>
      </c>
      <c r="B57" s="7">
        <v>44342</v>
      </c>
      <c r="C57" s="8" t="str">
        <f t="shared" si="0"/>
        <v>Wed</v>
      </c>
      <c r="D57" s="9">
        <f>SUMIF(Income!C:C,DayBook!B57,Income!D:D)</f>
        <v>0</v>
      </c>
      <c r="E57" s="9">
        <f>SUMIF(Expense!B:B,DayBook!B57,Expense!C:C)</f>
        <v>0</v>
      </c>
    </row>
    <row r="58" spans="1:5" x14ac:dyDescent="0.25">
      <c r="A58" s="6">
        <v>57</v>
      </c>
      <c r="B58" s="7">
        <v>44343</v>
      </c>
      <c r="C58" s="8" t="str">
        <f t="shared" si="0"/>
        <v>Thu</v>
      </c>
      <c r="D58" s="9">
        <f>SUMIF(Income!C:C,DayBook!B58,Income!D:D)</f>
        <v>0</v>
      </c>
      <c r="E58" s="9">
        <f>SUMIF(Expense!B:B,DayBook!B58,Expense!C:C)</f>
        <v>0</v>
      </c>
    </row>
    <row r="59" spans="1:5" x14ac:dyDescent="0.25">
      <c r="A59" s="6">
        <v>58</v>
      </c>
      <c r="B59" s="7">
        <v>44344</v>
      </c>
      <c r="C59" s="8" t="str">
        <f t="shared" si="0"/>
        <v>Fri</v>
      </c>
      <c r="D59" s="9">
        <f>SUMIF(Income!C:C,DayBook!B59,Income!D:D)</f>
        <v>0</v>
      </c>
      <c r="E59" s="9">
        <f>SUMIF(Expense!B:B,DayBook!B59,Expense!C:C)</f>
        <v>0</v>
      </c>
    </row>
    <row r="60" spans="1:5" x14ac:dyDescent="0.25">
      <c r="A60" s="6">
        <v>59</v>
      </c>
      <c r="B60" s="7">
        <v>44345</v>
      </c>
      <c r="C60" s="8" t="str">
        <f t="shared" si="0"/>
        <v>Sat</v>
      </c>
      <c r="D60" s="9">
        <f>SUMIF(Income!C:C,DayBook!B60,Income!D:D)</f>
        <v>0</v>
      </c>
      <c r="E60" s="9">
        <f>SUMIF(Expense!B:B,DayBook!B60,Expense!C:C)</f>
        <v>0</v>
      </c>
    </row>
    <row r="61" spans="1:5" x14ac:dyDescent="0.25">
      <c r="A61" s="6">
        <v>60</v>
      </c>
      <c r="B61" s="7">
        <v>44346</v>
      </c>
      <c r="C61" s="8" t="str">
        <f t="shared" si="0"/>
        <v>Sun</v>
      </c>
      <c r="D61" s="9">
        <f>SUMIF(Income!C:C,DayBook!B61,Income!D:D)</f>
        <v>0</v>
      </c>
      <c r="E61" s="9">
        <f>SUMIF(Expense!B:B,DayBook!B61,Expense!C:C)</f>
        <v>0</v>
      </c>
    </row>
    <row r="62" spans="1:5" x14ac:dyDescent="0.25">
      <c r="A62" s="6">
        <v>61</v>
      </c>
      <c r="B62" s="7">
        <v>44347</v>
      </c>
      <c r="C62" s="8" t="str">
        <f t="shared" si="0"/>
        <v>Mon</v>
      </c>
      <c r="D62" s="9">
        <f>SUMIF(Income!C:C,DayBook!B62,Income!D:D)</f>
        <v>0</v>
      </c>
      <c r="E62" s="9">
        <f>SUMIF(Expense!B:B,DayBook!B62,Expense!C:C)</f>
        <v>0</v>
      </c>
    </row>
    <row r="63" spans="1:5" x14ac:dyDescent="0.25">
      <c r="A63" s="6">
        <v>62</v>
      </c>
      <c r="B63" s="7">
        <v>44348</v>
      </c>
      <c r="C63" s="8" t="str">
        <f t="shared" si="0"/>
        <v>Tue</v>
      </c>
      <c r="D63" s="9">
        <f>SUMIF(Income!C:C,DayBook!B63,Income!D:D)</f>
        <v>0</v>
      </c>
      <c r="E63" s="9">
        <f>SUMIF(Expense!B:B,DayBook!B63,Expense!C:C)</f>
        <v>0</v>
      </c>
    </row>
    <row r="64" spans="1:5" x14ac:dyDescent="0.25">
      <c r="A64" s="6">
        <v>63</v>
      </c>
      <c r="B64" s="7">
        <v>44349</v>
      </c>
      <c r="C64" s="8" t="str">
        <f t="shared" si="0"/>
        <v>Wed</v>
      </c>
      <c r="D64" s="9">
        <f>SUMIF(Income!C:C,DayBook!B64,Income!D:D)</f>
        <v>0</v>
      </c>
      <c r="E64" s="9">
        <f>SUMIF(Expense!B:B,DayBook!B64,Expense!C:C)</f>
        <v>0</v>
      </c>
    </row>
    <row r="65" spans="1:5" x14ac:dyDescent="0.25">
      <c r="A65" s="6">
        <v>64</v>
      </c>
      <c r="B65" s="7">
        <v>44350</v>
      </c>
      <c r="C65" s="8" t="str">
        <f t="shared" si="0"/>
        <v>Thu</v>
      </c>
      <c r="D65" s="9">
        <f>SUMIF(Income!C:C,DayBook!B65,Income!D:D)</f>
        <v>0</v>
      </c>
      <c r="E65" s="9">
        <f>SUMIF(Expense!B:B,DayBook!B65,Expense!C:C)</f>
        <v>0</v>
      </c>
    </row>
    <row r="66" spans="1:5" x14ac:dyDescent="0.25">
      <c r="A66" s="6">
        <v>65</v>
      </c>
      <c r="B66" s="7">
        <v>44351</v>
      </c>
      <c r="C66" s="8" t="str">
        <f t="shared" si="0"/>
        <v>Fri</v>
      </c>
      <c r="D66" s="9">
        <f>SUMIF(Income!C:C,DayBook!B66,Income!D:D)</f>
        <v>0</v>
      </c>
      <c r="E66" s="9">
        <f>SUMIF(Expense!B:B,DayBook!B66,Expense!C:C)</f>
        <v>0</v>
      </c>
    </row>
    <row r="67" spans="1:5" x14ac:dyDescent="0.25">
      <c r="A67" s="6">
        <v>66</v>
      </c>
      <c r="B67" s="7">
        <v>44352</v>
      </c>
      <c r="C67" s="8" t="str">
        <f t="shared" ref="C67:C130" si="1">TEXT(B67,"ddd")</f>
        <v>Sat</v>
      </c>
      <c r="D67" s="9">
        <f>SUMIF(Income!C:C,DayBook!B67,Income!D:D)</f>
        <v>0</v>
      </c>
      <c r="E67" s="9">
        <f>SUMIF(Expense!B:B,DayBook!B67,Expense!C:C)</f>
        <v>0</v>
      </c>
    </row>
    <row r="68" spans="1:5" x14ac:dyDescent="0.25">
      <c r="A68" s="6">
        <v>67</v>
      </c>
      <c r="B68" s="7">
        <v>44353</v>
      </c>
      <c r="C68" s="8" t="str">
        <f t="shared" si="1"/>
        <v>Sun</v>
      </c>
      <c r="D68" s="9">
        <f>SUMIF(Income!C:C,DayBook!B68,Income!D:D)</f>
        <v>0</v>
      </c>
      <c r="E68" s="9">
        <f>SUMIF(Expense!B:B,DayBook!B68,Expense!C:C)</f>
        <v>0</v>
      </c>
    </row>
    <row r="69" spans="1:5" x14ac:dyDescent="0.25">
      <c r="A69" s="6">
        <v>68</v>
      </c>
      <c r="B69" s="7">
        <v>44354</v>
      </c>
      <c r="C69" s="8" t="str">
        <f t="shared" si="1"/>
        <v>Mon</v>
      </c>
      <c r="D69" s="9">
        <f>SUMIF(Income!C:C,DayBook!B69,Income!D:D)</f>
        <v>0</v>
      </c>
      <c r="E69" s="9">
        <f>SUMIF(Expense!B:B,DayBook!B69,Expense!C:C)</f>
        <v>0</v>
      </c>
    </row>
    <row r="70" spans="1:5" x14ac:dyDescent="0.25">
      <c r="A70" s="6">
        <v>69</v>
      </c>
      <c r="B70" s="7">
        <v>44355</v>
      </c>
      <c r="C70" s="8" t="str">
        <f t="shared" si="1"/>
        <v>Tue</v>
      </c>
      <c r="D70" s="9">
        <f>SUMIF(Income!C:C,DayBook!B70,Income!D:D)</f>
        <v>0</v>
      </c>
      <c r="E70" s="9">
        <f>SUMIF(Expense!B:B,DayBook!B70,Expense!C:C)</f>
        <v>0</v>
      </c>
    </row>
    <row r="71" spans="1:5" x14ac:dyDescent="0.25">
      <c r="A71" s="6">
        <v>70</v>
      </c>
      <c r="B71" s="7">
        <v>44356</v>
      </c>
      <c r="C71" s="8" t="str">
        <f t="shared" si="1"/>
        <v>Wed</v>
      </c>
      <c r="D71" s="9">
        <f>SUMIF(Income!C:C,DayBook!B71,Income!D:D)</f>
        <v>0</v>
      </c>
      <c r="E71" s="9">
        <f>SUMIF(Expense!B:B,DayBook!B71,Expense!C:C)</f>
        <v>0</v>
      </c>
    </row>
    <row r="72" spans="1:5" x14ac:dyDescent="0.25">
      <c r="A72" s="6">
        <v>71</v>
      </c>
      <c r="B72" s="7">
        <v>44357</v>
      </c>
      <c r="C72" s="8" t="str">
        <f t="shared" si="1"/>
        <v>Thu</v>
      </c>
      <c r="D72" s="9">
        <f>SUMIF(Income!C:C,DayBook!B72,Income!D:D)</f>
        <v>0</v>
      </c>
      <c r="E72" s="9">
        <f>SUMIF(Expense!B:B,DayBook!B72,Expense!C:C)</f>
        <v>0</v>
      </c>
    </row>
    <row r="73" spans="1:5" x14ac:dyDescent="0.25">
      <c r="A73" s="6">
        <v>72</v>
      </c>
      <c r="B73" s="7">
        <v>44358</v>
      </c>
      <c r="C73" s="8" t="str">
        <f t="shared" si="1"/>
        <v>Fri</v>
      </c>
      <c r="D73" s="9">
        <f>SUMIF(Income!C:C,DayBook!B73,Income!D:D)</f>
        <v>0</v>
      </c>
      <c r="E73" s="9">
        <f>SUMIF(Expense!B:B,DayBook!B73,Expense!C:C)</f>
        <v>0</v>
      </c>
    </row>
    <row r="74" spans="1:5" x14ac:dyDescent="0.25">
      <c r="A74" s="6">
        <v>73</v>
      </c>
      <c r="B74" s="7">
        <v>44359</v>
      </c>
      <c r="C74" s="8" t="str">
        <f t="shared" si="1"/>
        <v>Sat</v>
      </c>
      <c r="D74" s="9">
        <f>SUMIF(Income!C:C,DayBook!B74,Income!D:D)</f>
        <v>0</v>
      </c>
      <c r="E74" s="9">
        <f>SUMIF(Expense!B:B,DayBook!B74,Expense!C:C)</f>
        <v>0</v>
      </c>
    </row>
    <row r="75" spans="1:5" x14ac:dyDescent="0.25">
      <c r="A75" s="6">
        <v>74</v>
      </c>
      <c r="B75" s="7">
        <v>44360</v>
      </c>
      <c r="C75" s="8" t="str">
        <f t="shared" si="1"/>
        <v>Sun</v>
      </c>
      <c r="D75" s="9">
        <f>SUMIF(Income!C:C,DayBook!B75,Income!D:D)</f>
        <v>0</v>
      </c>
      <c r="E75" s="9">
        <f>SUMIF(Expense!B:B,DayBook!B75,Expense!C:C)</f>
        <v>0</v>
      </c>
    </row>
    <row r="76" spans="1:5" x14ac:dyDescent="0.25">
      <c r="A76" s="6">
        <v>75</v>
      </c>
      <c r="B76" s="7">
        <v>44361</v>
      </c>
      <c r="C76" s="8" t="str">
        <f t="shared" si="1"/>
        <v>Mon</v>
      </c>
      <c r="D76" s="9">
        <f>SUMIF(Income!C:C,DayBook!B76,Income!D:D)</f>
        <v>0</v>
      </c>
      <c r="E76" s="9">
        <f>SUMIF(Expense!B:B,DayBook!B76,Expense!C:C)</f>
        <v>0</v>
      </c>
    </row>
    <row r="77" spans="1:5" x14ac:dyDescent="0.25">
      <c r="A77" s="6">
        <v>76</v>
      </c>
      <c r="B77" s="7">
        <v>44362</v>
      </c>
      <c r="C77" s="8" t="str">
        <f t="shared" si="1"/>
        <v>Tue</v>
      </c>
      <c r="D77" s="9">
        <f>SUMIF(Income!C:C,DayBook!B77,Income!D:D)</f>
        <v>0</v>
      </c>
      <c r="E77" s="9">
        <f>SUMIF(Expense!B:B,DayBook!B77,Expense!C:C)</f>
        <v>0</v>
      </c>
    </row>
    <row r="78" spans="1:5" x14ac:dyDescent="0.25">
      <c r="A78" s="6">
        <v>77</v>
      </c>
      <c r="B78" s="7">
        <v>44363</v>
      </c>
      <c r="C78" s="8" t="str">
        <f t="shared" si="1"/>
        <v>Wed</v>
      </c>
      <c r="D78" s="9">
        <f>SUMIF(Income!C:C,DayBook!B78,Income!D:D)</f>
        <v>0</v>
      </c>
      <c r="E78" s="9">
        <f>SUMIF(Expense!B:B,DayBook!B78,Expense!C:C)</f>
        <v>0</v>
      </c>
    </row>
    <row r="79" spans="1:5" x14ac:dyDescent="0.25">
      <c r="A79" s="6">
        <v>78</v>
      </c>
      <c r="B79" s="7">
        <v>44364</v>
      </c>
      <c r="C79" s="8" t="str">
        <f t="shared" si="1"/>
        <v>Thu</v>
      </c>
      <c r="D79" s="9">
        <f>SUMIF(Income!C:C,DayBook!B79,Income!D:D)</f>
        <v>0</v>
      </c>
      <c r="E79" s="9">
        <f>SUMIF(Expense!B:B,DayBook!B79,Expense!C:C)</f>
        <v>0</v>
      </c>
    </row>
    <row r="80" spans="1:5" x14ac:dyDescent="0.25">
      <c r="A80" s="6">
        <v>79</v>
      </c>
      <c r="B80" s="7">
        <v>44365</v>
      </c>
      <c r="C80" s="8" t="str">
        <f t="shared" si="1"/>
        <v>Fri</v>
      </c>
      <c r="D80" s="9">
        <f>SUMIF(Income!C:C,DayBook!B80,Income!D:D)</f>
        <v>0</v>
      </c>
      <c r="E80" s="9">
        <f>SUMIF(Expense!B:B,DayBook!B80,Expense!C:C)</f>
        <v>0</v>
      </c>
    </row>
    <row r="81" spans="1:5" x14ac:dyDescent="0.25">
      <c r="A81" s="6">
        <v>80</v>
      </c>
      <c r="B81" s="7">
        <v>44366</v>
      </c>
      <c r="C81" s="8" t="str">
        <f t="shared" si="1"/>
        <v>Sat</v>
      </c>
      <c r="D81" s="9">
        <f>SUMIF(Income!C:C,DayBook!B81,Income!D:D)</f>
        <v>0</v>
      </c>
      <c r="E81" s="9">
        <f>SUMIF(Expense!B:B,DayBook!B81,Expense!C:C)</f>
        <v>0</v>
      </c>
    </row>
    <row r="82" spans="1:5" x14ac:dyDescent="0.25">
      <c r="A82" s="6">
        <v>81</v>
      </c>
      <c r="B82" s="7">
        <v>44367</v>
      </c>
      <c r="C82" s="8" t="str">
        <f t="shared" si="1"/>
        <v>Sun</v>
      </c>
      <c r="D82" s="9">
        <f>SUMIF(Income!C:C,DayBook!B82,Income!D:D)</f>
        <v>0</v>
      </c>
      <c r="E82" s="9">
        <f>SUMIF(Expense!B:B,DayBook!B82,Expense!C:C)</f>
        <v>0</v>
      </c>
    </row>
    <row r="83" spans="1:5" x14ac:dyDescent="0.25">
      <c r="A83" s="6">
        <v>82</v>
      </c>
      <c r="B83" s="7">
        <v>44368</v>
      </c>
      <c r="C83" s="8" t="str">
        <f t="shared" si="1"/>
        <v>Mon</v>
      </c>
      <c r="D83" s="9">
        <f>SUMIF(Income!C:C,DayBook!B83,Income!D:D)</f>
        <v>0</v>
      </c>
      <c r="E83" s="9">
        <f>SUMIF(Expense!B:B,DayBook!B83,Expense!C:C)</f>
        <v>0</v>
      </c>
    </row>
    <row r="84" spans="1:5" x14ac:dyDescent="0.25">
      <c r="A84" s="6">
        <v>83</v>
      </c>
      <c r="B84" s="7">
        <v>44369</v>
      </c>
      <c r="C84" s="8" t="str">
        <f t="shared" si="1"/>
        <v>Tue</v>
      </c>
      <c r="D84" s="9">
        <f>SUMIF(Income!C:C,DayBook!B84,Income!D:D)</f>
        <v>0</v>
      </c>
      <c r="E84" s="9">
        <f>SUMIF(Expense!B:B,DayBook!B84,Expense!C:C)</f>
        <v>0</v>
      </c>
    </row>
    <row r="85" spans="1:5" x14ac:dyDescent="0.25">
      <c r="A85" s="6">
        <v>84</v>
      </c>
      <c r="B85" s="7">
        <v>44370</v>
      </c>
      <c r="C85" s="8" t="str">
        <f t="shared" si="1"/>
        <v>Wed</v>
      </c>
      <c r="D85" s="9">
        <f>SUMIF(Income!C:C,DayBook!B85,Income!D:D)</f>
        <v>0</v>
      </c>
      <c r="E85" s="9">
        <f>SUMIF(Expense!B:B,DayBook!B85,Expense!C:C)</f>
        <v>0</v>
      </c>
    </row>
    <row r="86" spans="1:5" x14ac:dyDescent="0.25">
      <c r="A86" s="6">
        <v>85</v>
      </c>
      <c r="B86" s="7">
        <v>44371</v>
      </c>
      <c r="C86" s="8" t="str">
        <f t="shared" si="1"/>
        <v>Thu</v>
      </c>
      <c r="D86" s="9">
        <f>SUMIF(Income!C:C,DayBook!B86,Income!D:D)</f>
        <v>0</v>
      </c>
      <c r="E86" s="9">
        <f>SUMIF(Expense!B:B,DayBook!B86,Expense!C:C)</f>
        <v>0</v>
      </c>
    </row>
    <row r="87" spans="1:5" x14ac:dyDescent="0.25">
      <c r="A87" s="6">
        <v>86</v>
      </c>
      <c r="B87" s="7">
        <v>44372</v>
      </c>
      <c r="C87" s="8" t="str">
        <f t="shared" si="1"/>
        <v>Fri</v>
      </c>
      <c r="D87" s="9">
        <f>SUMIF(Income!C:C,DayBook!B87,Income!D:D)</f>
        <v>0</v>
      </c>
      <c r="E87" s="9">
        <f>SUMIF(Expense!B:B,DayBook!B87,Expense!C:C)</f>
        <v>0</v>
      </c>
    </row>
    <row r="88" spans="1:5" x14ac:dyDescent="0.25">
      <c r="A88" s="6">
        <v>87</v>
      </c>
      <c r="B88" s="7">
        <v>44373</v>
      </c>
      <c r="C88" s="8" t="str">
        <f t="shared" si="1"/>
        <v>Sat</v>
      </c>
      <c r="D88" s="9">
        <f>SUMIF(Income!C:C,DayBook!B88,Income!D:D)</f>
        <v>0</v>
      </c>
      <c r="E88" s="9">
        <f>SUMIF(Expense!B:B,DayBook!B88,Expense!C:C)</f>
        <v>0</v>
      </c>
    </row>
    <row r="89" spans="1:5" x14ac:dyDescent="0.25">
      <c r="A89" s="6">
        <v>88</v>
      </c>
      <c r="B89" s="7">
        <v>44374</v>
      </c>
      <c r="C89" s="8" t="str">
        <f t="shared" si="1"/>
        <v>Sun</v>
      </c>
      <c r="D89" s="9">
        <f>SUMIF(Income!C:C,DayBook!B89,Income!D:D)</f>
        <v>0</v>
      </c>
      <c r="E89" s="9">
        <f>SUMIF(Expense!B:B,DayBook!B89,Expense!C:C)</f>
        <v>0</v>
      </c>
    </row>
    <row r="90" spans="1:5" x14ac:dyDescent="0.25">
      <c r="A90" s="6">
        <v>89</v>
      </c>
      <c r="B90" s="7">
        <v>44375</v>
      </c>
      <c r="C90" s="8" t="str">
        <f t="shared" si="1"/>
        <v>Mon</v>
      </c>
      <c r="D90" s="9">
        <f>SUMIF(Income!C:C,DayBook!B90,Income!D:D)</f>
        <v>0</v>
      </c>
      <c r="E90" s="9">
        <f>SUMIF(Expense!B:B,DayBook!B90,Expense!C:C)</f>
        <v>0</v>
      </c>
    </row>
    <row r="91" spans="1:5" x14ac:dyDescent="0.25">
      <c r="A91" s="6">
        <v>90</v>
      </c>
      <c r="B91" s="7">
        <v>44376</v>
      </c>
      <c r="C91" s="8" t="str">
        <f t="shared" si="1"/>
        <v>Tue</v>
      </c>
      <c r="D91" s="9">
        <f>SUMIF(Income!C:C,DayBook!B91,Income!D:D)</f>
        <v>0</v>
      </c>
      <c r="E91" s="9">
        <f>SUMIF(Expense!B:B,DayBook!B91,Expense!C:C)</f>
        <v>0</v>
      </c>
    </row>
    <row r="92" spans="1:5" x14ac:dyDescent="0.25">
      <c r="A92" s="6">
        <v>91</v>
      </c>
      <c r="B92" s="7">
        <v>44377</v>
      </c>
      <c r="C92" s="8" t="str">
        <f t="shared" si="1"/>
        <v>Wed</v>
      </c>
      <c r="D92" s="9">
        <f>SUMIF(Income!C:C,DayBook!B92,Income!D:D)</f>
        <v>0</v>
      </c>
      <c r="E92" s="9">
        <f>SUMIF(Expense!B:B,DayBook!B92,Expense!C:C)</f>
        <v>0</v>
      </c>
    </row>
    <row r="93" spans="1:5" x14ac:dyDescent="0.25">
      <c r="A93" s="6">
        <v>92</v>
      </c>
      <c r="B93" s="7">
        <v>44378</v>
      </c>
      <c r="C93" s="8" t="str">
        <f t="shared" si="1"/>
        <v>Thu</v>
      </c>
      <c r="D93" s="9">
        <f>SUMIF(Income!C:C,DayBook!B93,Income!D:D)</f>
        <v>0</v>
      </c>
      <c r="E93" s="9">
        <f>SUMIF(Expense!B:B,DayBook!B93,Expense!C:C)</f>
        <v>0</v>
      </c>
    </row>
    <row r="94" spans="1:5" x14ac:dyDescent="0.25">
      <c r="A94" s="6">
        <v>93</v>
      </c>
      <c r="B94" s="7">
        <v>44379</v>
      </c>
      <c r="C94" s="8" t="str">
        <f t="shared" si="1"/>
        <v>Fri</v>
      </c>
      <c r="D94" s="9">
        <f>SUMIF(Income!C:C,DayBook!B94,Income!D:D)</f>
        <v>0</v>
      </c>
      <c r="E94" s="9">
        <f>SUMIF(Expense!B:B,DayBook!B94,Expense!C:C)</f>
        <v>0</v>
      </c>
    </row>
    <row r="95" spans="1:5" x14ac:dyDescent="0.25">
      <c r="A95" s="6">
        <v>94</v>
      </c>
      <c r="B95" s="7">
        <v>44380</v>
      </c>
      <c r="C95" s="8" t="str">
        <f t="shared" si="1"/>
        <v>Sat</v>
      </c>
      <c r="D95" s="9">
        <f>SUMIF(Income!C:C,DayBook!B95,Income!D:D)</f>
        <v>0</v>
      </c>
      <c r="E95" s="9">
        <f>SUMIF(Expense!B:B,DayBook!B95,Expense!C:C)</f>
        <v>0</v>
      </c>
    </row>
    <row r="96" spans="1:5" x14ac:dyDescent="0.25">
      <c r="A96" s="6">
        <v>95</v>
      </c>
      <c r="B96" s="7">
        <v>44381</v>
      </c>
      <c r="C96" s="8" t="str">
        <f t="shared" si="1"/>
        <v>Sun</v>
      </c>
      <c r="D96" s="9">
        <f>SUMIF(Income!C:C,DayBook!B96,Income!D:D)</f>
        <v>0</v>
      </c>
      <c r="E96" s="9">
        <f>SUMIF(Expense!B:B,DayBook!B96,Expense!C:C)</f>
        <v>0</v>
      </c>
    </row>
    <row r="97" spans="1:5" x14ac:dyDescent="0.25">
      <c r="A97" s="6">
        <v>96</v>
      </c>
      <c r="B97" s="7">
        <v>44382</v>
      </c>
      <c r="C97" s="8" t="str">
        <f t="shared" si="1"/>
        <v>Mon</v>
      </c>
      <c r="D97" s="9">
        <f>SUMIF(Income!C:C,DayBook!B97,Income!D:D)</f>
        <v>0</v>
      </c>
      <c r="E97" s="9">
        <f>SUMIF(Expense!B:B,DayBook!B97,Expense!C:C)</f>
        <v>0</v>
      </c>
    </row>
    <row r="98" spans="1:5" x14ac:dyDescent="0.25">
      <c r="A98" s="6">
        <v>97</v>
      </c>
      <c r="B98" s="7">
        <v>44383</v>
      </c>
      <c r="C98" s="8" t="str">
        <f t="shared" si="1"/>
        <v>Tue</v>
      </c>
      <c r="D98" s="9">
        <f>SUMIF(Income!C:C,DayBook!B98,Income!D:D)</f>
        <v>0</v>
      </c>
      <c r="E98" s="9">
        <f>SUMIF(Expense!B:B,DayBook!B98,Expense!C:C)</f>
        <v>0</v>
      </c>
    </row>
    <row r="99" spans="1:5" x14ac:dyDescent="0.25">
      <c r="A99" s="6">
        <v>98</v>
      </c>
      <c r="B99" s="7">
        <v>44384</v>
      </c>
      <c r="C99" s="8" t="str">
        <f t="shared" si="1"/>
        <v>Wed</v>
      </c>
      <c r="D99" s="9">
        <f>SUMIF(Income!C:C,DayBook!B99,Income!D:D)</f>
        <v>0</v>
      </c>
      <c r="E99" s="9">
        <f>SUMIF(Expense!B:B,DayBook!B99,Expense!C:C)</f>
        <v>0</v>
      </c>
    </row>
    <row r="100" spans="1:5" x14ac:dyDescent="0.25">
      <c r="A100" s="6">
        <v>99</v>
      </c>
      <c r="B100" s="7">
        <v>44385</v>
      </c>
      <c r="C100" s="8" t="str">
        <f t="shared" si="1"/>
        <v>Thu</v>
      </c>
      <c r="D100" s="9">
        <f>SUMIF(Income!C:C,DayBook!B100,Income!D:D)</f>
        <v>0</v>
      </c>
      <c r="E100" s="9">
        <f>SUMIF(Expense!B:B,DayBook!B100,Expense!C:C)</f>
        <v>0</v>
      </c>
    </row>
    <row r="101" spans="1:5" x14ac:dyDescent="0.25">
      <c r="A101" s="6">
        <v>100</v>
      </c>
      <c r="B101" s="7">
        <v>44386</v>
      </c>
      <c r="C101" s="8" t="str">
        <f t="shared" si="1"/>
        <v>Fri</v>
      </c>
      <c r="D101" s="9">
        <f>SUMIF(Income!C:C,DayBook!B101,Income!D:D)</f>
        <v>0</v>
      </c>
      <c r="E101" s="9">
        <f>SUMIF(Expense!B:B,DayBook!B101,Expense!C:C)</f>
        <v>0</v>
      </c>
    </row>
    <row r="102" spans="1:5" x14ac:dyDescent="0.25">
      <c r="A102" s="6">
        <v>101</v>
      </c>
      <c r="B102" s="7">
        <v>44387</v>
      </c>
      <c r="C102" s="8" t="str">
        <f t="shared" si="1"/>
        <v>Sat</v>
      </c>
      <c r="D102" s="9">
        <f>SUMIF(Income!C:C,DayBook!B102,Income!D:D)</f>
        <v>0</v>
      </c>
      <c r="E102" s="9">
        <f>SUMIF(Expense!B:B,DayBook!B102,Expense!C:C)</f>
        <v>0</v>
      </c>
    </row>
    <row r="103" spans="1:5" x14ac:dyDescent="0.25">
      <c r="A103" s="6">
        <v>102</v>
      </c>
      <c r="B103" s="7">
        <v>44388</v>
      </c>
      <c r="C103" s="8" t="str">
        <f t="shared" si="1"/>
        <v>Sun</v>
      </c>
      <c r="D103" s="9">
        <f>SUMIF(Income!C:C,DayBook!B103,Income!D:D)</f>
        <v>0</v>
      </c>
      <c r="E103" s="9">
        <f>SUMIF(Expense!B:B,DayBook!B103,Expense!C:C)</f>
        <v>0</v>
      </c>
    </row>
    <row r="104" spans="1:5" x14ac:dyDescent="0.25">
      <c r="A104" s="6">
        <v>103</v>
      </c>
      <c r="B104" s="7">
        <v>44389</v>
      </c>
      <c r="C104" s="8" t="str">
        <f t="shared" si="1"/>
        <v>Mon</v>
      </c>
      <c r="D104" s="9">
        <f>SUMIF(Income!C:C,DayBook!B104,Income!D:D)</f>
        <v>0</v>
      </c>
      <c r="E104" s="9">
        <f>SUMIF(Expense!B:B,DayBook!B104,Expense!C:C)</f>
        <v>0</v>
      </c>
    </row>
    <row r="105" spans="1:5" x14ac:dyDescent="0.25">
      <c r="A105" s="6">
        <v>104</v>
      </c>
      <c r="B105" s="7">
        <v>44390</v>
      </c>
      <c r="C105" s="8" t="str">
        <f t="shared" si="1"/>
        <v>Tue</v>
      </c>
      <c r="D105" s="9">
        <f>SUMIF(Income!C:C,DayBook!B105,Income!D:D)</f>
        <v>0</v>
      </c>
      <c r="E105" s="9">
        <f>SUMIF(Expense!B:B,DayBook!B105,Expense!C:C)</f>
        <v>0</v>
      </c>
    </row>
    <row r="106" spans="1:5" x14ac:dyDescent="0.25">
      <c r="A106" s="6">
        <v>105</v>
      </c>
      <c r="B106" s="7">
        <v>44391</v>
      </c>
      <c r="C106" s="8" t="str">
        <f t="shared" si="1"/>
        <v>Wed</v>
      </c>
      <c r="D106" s="9">
        <f>SUMIF(Income!C:C,DayBook!B106,Income!D:D)</f>
        <v>0</v>
      </c>
      <c r="E106" s="9">
        <f>SUMIF(Expense!B:B,DayBook!B106,Expense!C:C)</f>
        <v>0</v>
      </c>
    </row>
    <row r="107" spans="1:5" x14ac:dyDescent="0.25">
      <c r="A107" s="6">
        <v>106</v>
      </c>
      <c r="B107" s="7">
        <v>44392</v>
      </c>
      <c r="C107" s="8" t="str">
        <f t="shared" si="1"/>
        <v>Thu</v>
      </c>
      <c r="D107" s="9">
        <f>SUMIF(Income!C:C,DayBook!B107,Income!D:D)</f>
        <v>0</v>
      </c>
      <c r="E107" s="9">
        <f>SUMIF(Expense!B:B,DayBook!B107,Expense!C:C)</f>
        <v>0</v>
      </c>
    </row>
    <row r="108" spans="1:5" x14ac:dyDescent="0.25">
      <c r="A108" s="6">
        <v>107</v>
      </c>
      <c r="B108" s="7">
        <v>44393</v>
      </c>
      <c r="C108" s="8" t="str">
        <f t="shared" si="1"/>
        <v>Fri</v>
      </c>
      <c r="D108" s="9">
        <f>SUMIF(Income!C:C,DayBook!B108,Income!D:D)</f>
        <v>0</v>
      </c>
      <c r="E108" s="9">
        <f>SUMIF(Expense!B:B,DayBook!B108,Expense!C:C)</f>
        <v>0</v>
      </c>
    </row>
    <row r="109" spans="1:5" x14ac:dyDescent="0.25">
      <c r="A109" s="6">
        <v>108</v>
      </c>
      <c r="B109" s="7">
        <v>44394</v>
      </c>
      <c r="C109" s="8" t="str">
        <f t="shared" si="1"/>
        <v>Sat</v>
      </c>
      <c r="D109" s="9">
        <f>SUMIF(Income!C:C,DayBook!B109,Income!D:D)</f>
        <v>0</v>
      </c>
      <c r="E109" s="9">
        <f>SUMIF(Expense!B:B,DayBook!B109,Expense!C:C)</f>
        <v>0</v>
      </c>
    </row>
    <row r="110" spans="1:5" x14ac:dyDescent="0.25">
      <c r="A110" s="6">
        <v>109</v>
      </c>
      <c r="B110" s="7">
        <v>44395</v>
      </c>
      <c r="C110" s="8" t="str">
        <f t="shared" si="1"/>
        <v>Sun</v>
      </c>
      <c r="D110" s="9">
        <f>SUMIF(Income!C:C,DayBook!B110,Income!D:D)</f>
        <v>0</v>
      </c>
      <c r="E110" s="9">
        <f>SUMIF(Expense!B:B,DayBook!B110,Expense!C:C)</f>
        <v>0</v>
      </c>
    </row>
    <row r="111" spans="1:5" x14ac:dyDescent="0.25">
      <c r="A111" s="6">
        <v>110</v>
      </c>
      <c r="B111" s="7">
        <v>44396</v>
      </c>
      <c r="C111" s="8" t="str">
        <f t="shared" si="1"/>
        <v>Mon</v>
      </c>
      <c r="D111" s="9">
        <f>SUMIF(Income!C:C,DayBook!B111,Income!D:D)</f>
        <v>0</v>
      </c>
      <c r="E111" s="9">
        <f>SUMIF(Expense!B:B,DayBook!B111,Expense!C:C)</f>
        <v>0</v>
      </c>
    </row>
    <row r="112" spans="1:5" x14ac:dyDescent="0.25">
      <c r="A112" s="6">
        <v>111</v>
      </c>
      <c r="B112" s="7">
        <v>44397</v>
      </c>
      <c r="C112" s="8" t="str">
        <f t="shared" si="1"/>
        <v>Tue</v>
      </c>
      <c r="D112" s="9">
        <f>SUMIF(Income!C:C,DayBook!B112,Income!D:D)</f>
        <v>0</v>
      </c>
      <c r="E112" s="9">
        <f>SUMIF(Expense!B:B,DayBook!B112,Expense!C:C)</f>
        <v>0</v>
      </c>
    </row>
    <row r="113" spans="1:5" x14ac:dyDescent="0.25">
      <c r="A113" s="6">
        <v>112</v>
      </c>
      <c r="B113" s="7">
        <v>44398</v>
      </c>
      <c r="C113" s="8" t="str">
        <f t="shared" si="1"/>
        <v>Wed</v>
      </c>
      <c r="D113" s="9">
        <f>SUMIF(Income!C:C,DayBook!B113,Income!D:D)</f>
        <v>0</v>
      </c>
      <c r="E113" s="9">
        <f>SUMIF(Expense!B:B,DayBook!B113,Expense!C:C)</f>
        <v>0</v>
      </c>
    </row>
    <row r="114" spans="1:5" x14ac:dyDescent="0.25">
      <c r="A114" s="6">
        <v>113</v>
      </c>
      <c r="B114" s="7">
        <v>44399</v>
      </c>
      <c r="C114" s="8" t="str">
        <f t="shared" si="1"/>
        <v>Thu</v>
      </c>
      <c r="D114" s="9">
        <f>SUMIF(Income!C:C,DayBook!B114,Income!D:D)</f>
        <v>0</v>
      </c>
      <c r="E114" s="9">
        <f>SUMIF(Expense!B:B,DayBook!B114,Expense!C:C)</f>
        <v>0</v>
      </c>
    </row>
    <row r="115" spans="1:5" x14ac:dyDescent="0.25">
      <c r="A115" s="6">
        <v>114</v>
      </c>
      <c r="B115" s="7">
        <v>44400</v>
      </c>
      <c r="C115" s="8" t="str">
        <f t="shared" si="1"/>
        <v>Fri</v>
      </c>
      <c r="D115" s="9">
        <f>SUMIF(Income!C:C,DayBook!B115,Income!D:D)</f>
        <v>0</v>
      </c>
      <c r="E115" s="9">
        <f>SUMIF(Expense!B:B,DayBook!B115,Expense!C:C)</f>
        <v>0</v>
      </c>
    </row>
    <row r="116" spans="1:5" x14ac:dyDescent="0.25">
      <c r="A116" s="6">
        <v>115</v>
      </c>
      <c r="B116" s="7">
        <v>44401</v>
      </c>
      <c r="C116" s="8" t="str">
        <f t="shared" si="1"/>
        <v>Sat</v>
      </c>
      <c r="D116" s="9">
        <f>SUMIF(Income!C:C,DayBook!B116,Income!D:D)</f>
        <v>0</v>
      </c>
      <c r="E116" s="9">
        <f>SUMIF(Expense!B:B,DayBook!B116,Expense!C:C)</f>
        <v>0</v>
      </c>
    </row>
    <row r="117" spans="1:5" x14ac:dyDescent="0.25">
      <c r="A117" s="6">
        <v>116</v>
      </c>
      <c r="B117" s="7">
        <v>44402</v>
      </c>
      <c r="C117" s="8" t="str">
        <f t="shared" si="1"/>
        <v>Sun</v>
      </c>
      <c r="D117" s="9">
        <f>SUMIF(Income!C:C,DayBook!B117,Income!D:D)</f>
        <v>0</v>
      </c>
      <c r="E117" s="9">
        <f>SUMIF(Expense!B:B,DayBook!B117,Expense!C:C)</f>
        <v>0</v>
      </c>
    </row>
    <row r="118" spans="1:5" x14ac:dyDescent="0.25">
      <c r="A118" s="6">
        <v>117</v>
      </c>
      <c r="B118" s="7">
        <v>44403</v>
      </c>
      <c r="C118" s="8" t="str">
        <f t="shared" si="1"/>
        <v>Mon</v>
      </c>
      <c r="D118" s="9">
        <f>SUMIF(Income!C:C,DayBook!B118,Income!D:D)</f>
        <v>0</v>
      </c>
      <c r="E118" s="9">
        <f>SUMIF(Expense!B:B,DayBook!B118,Expense!C:C)</f>
        <v>0</v>
      </c>
    </row>
    <row r="119" spans="1:5" x14ac:dyDescent="0.25">
      <c r="A119" s="6">
        <v>118</v>
      </c>
      <c r="B119" s="7">
        <v>44404</v>
      </c>
      <c r="C119" s="8" t="str">
        <f t="shared" si="1"/>
        <v>Tue</v>
      </c>
      <c r="D119" s="9">
        <f>SUMIF(Income!C:C,DayBook!B119,Income!D:D)</f>
        <v>0</v>
      </c>
      <c r="E119" s="9">
        <f>SUMIF(Expense!B:B,DayBook!B119,Expense!C:C)</f>
        <v>0</v>
      </c>
    </row>
    <row r="120" spans="1:5" x14ac:dyDescent="0.25">
      <c r="A120" s="6">
        <v>119</v>
      </c>
      <c r="B120" s="7">
        <v>44405</v>
      </c>
      <c r="C120" s="8" t="str">
        <f t="shared" si="1"/>
        <v>Wed</v>
      </c>
      <c r="D120" s="9">
        <f>SUMIF(Income!C:C,DayBook!B120,Income!D:D)</f>
        <v>0</v>
      </c>
      <c r="E120" s="9">
        <f>SUMIF(Expense!B:B,DayBook!B120,Expense!C:C)</f>
        <v>0</v>
      </c>
    </row>
    <row r="121" spans="1:5" x14ac:dyDescent="0.25">
      <c r="A121" s="6">
        <v>120</v>
      </c>
      <c r="B121" s="7">
        <v>44406</v>
      </c>
      <c r="C121" s="8" t="str">
        <f t="shared" si="1"/>
        <v>Thu</v>
      </c>
      <c r="D121" s="9">
        <f>SUMIF(Income!C:C,DayBook!B121,Income!D:D)</f>
        <v>0</v>
      </c>
      <c r="E121" s="9">
        <f>SUMIF(Expense!B:B,DayBook!B121,Expense!C:C)</f>
        <v>0</v>
      </c>
    </row>
    <row r="122" spans="1:5" x14ac:dyDescent="0.25">
      <c r="A122" s="6">
        <v>121</v>
      </c>
      <c r="B122" s="7">
        <v>44407</v>
      </c>
      <c r="C122" s="8" t="str">
        <f t="shared" si="1"/>
        <v>Fri</v>
      </c>
      <c r="D122" s="9">
        <f>SUMIF(Income!C:C,DayBook!B122,Income!D:D)</f>
        <v>0</v>
      </c>
      <c r="E122" s="9">
        <f>SUMIF(Expense!B:B,DayBook!B122,Expense!C:C)</f>
        <v>0</v>
      </c>
    </row>
    <row r="123" spans="1:5" x14ac:dyDescent="0.25">
      <c r="A123" s="6">
        <v>122</v>
      </c>
      <c r="B123" s="7">
        <v>44408</v>
      </c>
      <c r="C123" s="8" t="str">
        <f t="shared" si="1"/>
        <v>Sat</v>
      </c>
      <c r="D123" s="9">
        <f>SUMIF(Income!C:C,DayBook!B123,Income!D:D)</f>
        <v>0</v>
      </c>
      <c r="E123" s="9">
        <f>SUMIF(Expense!B:B,DayBook!B123,Expense!C:C)</f>
        <v>0</v>
      </c>
    </row>
    <row r="124" spans="1:5" x14ac:dyDescent="0.25">
      <c r="A124" s="6">
        <v>123</v>
      </c>
      <c r="B124" s="7">
        <v>44409</v>
      </c>
      <c r="C124" s="8" t="str">
        <f t="shared" si="1"/>
        <v>Sun</v>
      </c>
      <c r="D124" s="9">
        <f>SUMIF(Income!C:C,DayBook!B124,Income!D:D)</f>
        <v>0</v>
      </c>
      <c r="E124" s="9">
        <f>SUMIF(Expense!B:B,DayBook!B124,Expense!C:C)</f>
        <v>0</v>
      </c>
    </row>
    <row r="125" spans="1:5" x14ac:dyDescent="0.25">
      <c r="A125" s="6">
        <v>124</v>
      </c>
      <c r="B125" s="7">
        <v>44410</v>
      </c>
      <c r="C125" s="8" t="str">
        <f t="shared" si="1"/>
        <v>Mon</v>
      </c>
      <c r="D125" s="9">
        <f>SUMIF(Income!C:C,DayBook!B125,Income!D:D)</f>
        <v>0</v>
      </c>
      <c r="E125" s="9">
        <f>SUMIF(Expense!B:B,DayBook!B125,Expense!C:C)</f>
        <v>0</v>
      </c>
    </row>
    <row r="126" spans="1:5" x14ac:dyDescent="0.25">
      <c r="A126" s="6">
        <v>125</v>
      </c>
      <c r="B126" s="7">
        <v>44411</v>
      </c>
      <c r="C126" s="8" t="str">
        <f t="shared" si="1"/>
        <v>Tue</v>
      </c>
      <c r="D126" s="9">
        <f>SUMIF(Income!C:C,DayBook!B126,Income!D:D)</f>
        <v>0</v>
      </c>
      <c r="E126" s="9">
        <f>SUMIF(Expense!B:B,DayBook!B126,Expense!C:C)</f>
        <v>0</v>
      </c>
    </row>
    <row r="127" spans="1:5" x14ac:dyDescent="0.25">
      <c r="A127" s="6">
        <v>126</v>
      </c>
      <c r="B127" s="7">
        <v>44412</v>
      </c>
      <c r="C127" s="8" t="str">
        <f t="shared" si="1"/>
        <v>Wed</v>
      </c>
      <c r="D127" s="9">
        <f>SUMIF(Income!C:C,DayBook!B127,Income!D:D)</f>
        <v>0</v>
      </c>
      <c r="E127" s="9">
        <f>SUMIF(Expense!B:B,DayBook!B127,Expense!C:C)</f>
        <v>0</v>
      </c>
    </row>
    <row r="128" spans="1:5" x14ac:dyDescent="0.25">
      <c r="A128" s="6">
        <v>127</v>
      </c>
      <c r="B128" s="7">
        <v>44413</v>
      </c>
      <c r="C128" s="8" t="str">
        <f t="shared" si="1"/>
        <v>Thu</v>
      </c>
      <c r="D128" s="9">
        <f>SUMIF(Income!C:C,DayBook!B128,Income!D:D)</f>
        <v>0</v>
      </c>
      <c r="E128" s="9">
        <f>SUMIF(Expense!B:B,DayBook!B128,Expense!C:C)</f>
        <v>0</v>
      </c>
    </row>
    <row r="129" spans="1:5" x14ac:dyDescent="0.25">
      <c r="A129" s="6">
        <v>128</v>
      </c>
      <c r="B129" s="7">
        <v>44414</v>
      </c>
      <c r="C129" s="8" t="str">
        <f t="shared" si="1"/>
        <v>Fri</v>
      </c>
      <c r="D129" s="9">
        <f>SUMIF(Income!C:C,DayBook!B129,Income!D:D)</f>
        <v>0</v>
      </c>
      <c r="E129" s="9">
        <f>SUMIF(Expense!B:B,DayBook!B129,Expense!C:C)</f>
        <v>0</v>
      </c>
    </row>
    <row r="130" spans="1:5" x14ac:dyDescent="0.25">
      <c r="A130" s="6">
        <v>129</v>
      </c>
      <c r="B130" s="7">
        <v>44415</v>
      </c>
      <c r="C130" s="8" t="str">
        <f t="shared" si="1"/>
        <v>Sat</v>
      </c>
      <c r="D130" s="9">
        <f>SUMIF(Income!C:C,DayBook!B130,Income!D:D)</f>
        <v>0</v>
      </c>
      <c r="E130" s="9">
        <f>SUMIF(Expense!B:B,DayBook!B130,Expense!C:C)</f>
        <v>0</v>
      </c>
    </row>
    <row r="131" spans="1:5" x14ac:dyDescent="0.25">
      <c r="A131" s="6">
        <v>130</v>
      </c>
      <c r="B131" s="7">
        <v>44416</v>
      </c>
      <c r="C131" s="8" t="str">
        <f t="shared" ref="C131:C194" si="2">TEXT(B131,"ddd")</f>
        <v>Sun</v>
      </c>
      <c r="D131" s="9">
        <f>SUMIF(Income!C:C,DayBook!B131,Income!D:D)</f>
        <v>0</v>
      </c>
      <c r="E131" s="9">
        <f>SUMIF(Expense!B:B,DayBook!B131,Expense!C:C)</f>
        <v>0</v>
      </c>
    </row>
    <row r="132" spans="1:5" x14ac:dyDescent="0.25">
      <c r="A132" s="6">
        <v>131</v>
      </c>
      <c r="B132" s="7">
        <v>44417</v>
      </c>
      <c r="C132" s="8" t="str">
        <f t="shared" si="2"/>
        <v>Mon</v>
      </c>
      <c r="D132" s="9">
        <f>SUMIF(Income!C:C,DayBook!B132,Income!D:D)</f>
        <v>0</v>
      </c>
      <c r="E132" s="9">
        <f>SUMIF(Expense!B:B,DayBook!B132,Expense!C:C)</f>
        <v>0</v>
      </c>
    </row>
    <row r="133" spans="1:5" x14ac:dyDescent="0.25">
      <c r="A133" s="6">
        <v>132</v>
      </c>
      <c r="B133" s="7">
        <v>44418</v>
      </c>
      <c r="C133" s="8" t="str">
        <f t="shared" si="2"/>
        <v>Tue</v>
      </c>
      <c r="D133" s="9">
        <f>SUMIF(Income!C:C,DayBook!B133,Income!D:D)</f>
        <v>0</v>
      </c>
      <c r="E133" s="9">
        <f>SUMIF(Expense!B:B,DayBook!B133,Expense!C:C)</f>
        <v>0</v>
      </c>
    </row>
    <row r="134" spans="1:5" x14ac:dyDescent="0.25">
      <c r="A134" s="6">
        <v>133</v>
      </c>
      <c r="B134" s="7">
        <v>44419</v>
      </c>
      <c r="C134" s="8" t="str">
        <f t="shared" si="2"/>
        <v>Wed</v>
      </c>
      <c r="D134" s="9">
        <f>SUMIF(Income!C:C,DayBook!B134,Income!D:D)</f>
        <v>0</v>
      </c>
      <c r="E134" s="9">
        <f>SUMIF(Expense!B:B,DayBook!B134,Expense!C:C)</f>
        <v>0</v>
      </c>
    </row>
    <row r="135" spans="1:5" x14ac:dyDescent="0.25">
      <c r="A135" s="6">
        <v>134</v>
      </c>
      <c r="B135" s="7">
        <v>44420</v>
      </c>
      <c r="C135" s="8" t="str">
        <f t="shared" si="2"/>
        <v>Thu</v>
      </c>
      <c r="D135" s="9">
        <f>SUMIF(Income!C:C,DayBook!B135,Income!D:D)</f>
        <v>0</v>
      </c>
      <c r="E135" s="9">
        <f>SUMIF(Expense!B:B,DayBook!B135,Expense!C:C)</f>
        <v>0</v>
      </c>
    </row>
    <row r="136" spans="1:5" x14ac:dyDescent="0.25">
      <c r="A136" s="6">
        <v>135</v>
      </c>
      <c r="B136" s="7">
        <v>44421</v>
      </c>
      <c r="C136" s="8" t="str">
        <f t="shared" si="2"/>
        <v>Fri</v>
      </c>
      <c r="D136" s="9">
        <f>SUMIF(Income!C:C,DayBook!B136,Income!D:D)</f>
        <v>0</v>
      </c>
      <c r="E136" s="9">
        <f>SUMIF(Expense!B:B,DayBook!B136,Expense!C:C)</f>
        <v>0</v>
      </c>
    </row>
    <row r="137" spans="1:5" x14ac:dyDescent="0.25">
      <c r="A137" s="6">
        <v>136</v>
      </c>
      <c r="B137" s="7">
        <v>44422</v>
      </c>
      <c r="C137" s="8" t="str">
        <f t="shared" si="2"/>
        <v>Sat</v>
      </c>
      <c r="D137" s="9">
        <f>SUMIF(Income!C:C,DayBook!B137,Income!D:D)</f>
        <v>0</v>
      </c>
      <c r="E137" s="9">
        <f>SUMIF(Expense!B:B,DayBook!B137,Expense!C:C)</f>
        <v>0</v>
      </c>
    </row>
    <row r="138" spans="1:5" x14ac:dyDescent="0.25">
      <c r="A138" s="6">
        <v>137</v>
      </c>
      <c r="B138" s="7">
        <v>44423</v>
      </c>
      <c r="C138" s="8" t="str">
        <f t="shared" si="2"/>
        <v>Sun</v>
      </c>
      <c r="D138" s="9">
        <f>SUMIF(Income!C:C,DayBook!B138,Income!D:D)</f>
        <v>0</v>
      </c>
      <c r="E138" s="9">
        <f>SUMIF(Expense!B:B,DayBook!B138,Expense!C:C)</f>
        <v>0</v>
      </c>
    </row>
    <row r="139" spans="1:5" x14ac:dyDescent="0.25">
      <c r="A139" s="6">
        <v>138</v>
      </c>
      <c r="B139" s="7">
        <v>44424</v>
      </c>
      <c r="C139" s="8" t="str">
        <f t="shared" si="2"/>
        <v>Mon</v>
      </c>
      <c r="D139" s="9">
        <f>SUMIF(Income!C:C,DayBook!B139,Income!D:D)</f>
        <v>0</v>
      </c>
      <c r="E139" s="9">
        <f>SUMIF(Expense!B:B,DayBook!B139,Expense!C:C)</f>
        <v>0</v>
      </c>
    </row>
    <row r="140" spans="1:5" x14ac:dyDescent="0.25">
      <c r="A140" s="6">
        <v>139</v>
      </c>
      <c r="B140" s="7">
        <v>44425</v>
      </c>
      <c r="C140" s="8" t="str">
        <f t="shared" si="2"/>
        <v>Tue</v>
      </c>
      <c r="D140" s="9">
        <f>SUMIF(Income!C:C,DayBook!B140,Income!D:D)</f>
        <v>0</v>
      </c>
      <c r="E140" s="9">
        <f>SUMIF(Expense!B:B,DayBook!B140,Expense!C:C)</f>
        <v>0</v>
      </c>
    </row>
    <row r="141" spans="1:5" x14ac:dyDescent="0.25">
      <c r="A141" s="6">
        <v>140</v>
      </c>
      <c r="B141" s="7">
        <v>44426</v>
      </c>
      <c r="C141" s="8" t="str">
        <f t="shared" si="2"/>
        <v>Wed</v>
      </c>
      <c r="D141" s="9">
        <f>SUMIF(Income!C:C,DayBook!B141,Income!D:D)</f>
        <v>0</v>
      </c>
      <c r="E141" s="9">
        <f>SUMIF(Expense!B:B,DayBook!B141,Expense!C:C)</f>
        <v>0</v>
      </c>
    </row>
    <row r="142" spans="1:5" x14ac:dyDescent="0.25">
      <c r="A142" s="6">
        <v>141</v>
      </c>
      <c r="B142" s="7">
        <v>44427</v>
      </c>
      <c r="C142" s="8" t="str">
        <f t="shared" si="2"/>
        <v>Thu</v>
      </c>
      <c r="D142" s="9">
        <f>SUMIF(Income!C:C,DayBook!B142,Income!D:D)</f>
        <v>0</v>
      </c>
      <c r="E142" s="9">
        <f>SUMIF(Expense!B:B,DayBook!B142,Expense!C:C)</f>
        <v>0</v>
      </c>
    </row>
    <row r="143" spans="1:5" x14ac:dyDescent="0.25">
      <c r="A143" s="6">
        <v>142</v>
      </c>
      <c r="B143" s="7">
        <v>44428</v>
      </c>
      <c r="C143" s="8" t="str">
        <f t="shared" si="2"/>
        <v>Fri</v>
      </c>
      <c r="D143" s="9">
        <f>SUMIF(Income!C:C,DayBook!B143,Income!D:D)</f>
        <v>0</v>
      </c>
      <c r="E143" s="9">
        <f>SUMIF(Expense!B:B,DayBook!B143,Expense!C:C)</f>
        <v>0</v>
      </c>
    </row>
    <row r="144" spans="1:5" x14ac:dyDescent="0.25">
      <c r="A144" s="6">
        <v>143</v>
      </c>
      <c r="B144" s="7">
        <v>44429</v>
      </c>
      <c r="C144" s="8" t="str">
        <f t="shared" si="2"/>
        <v>Sat</v>
      </c>
      <c r="D144" s="9">
        <f>SUMIF(Income!C:C,DayBook!B144,Income!D:D)</f>
        <v>0</v>
      </c>
      <c r="E144" s="9">
        <f>SUMIF(Expense!B:B,DayBook!B144,Expense!C:C)</f>
        <v>0</v>
      </c>
    </row>
    <row r="145" spans="1:5" x14ac:dyDescent="0.25">
      <c r="A145" s="6">
        <v>144</v>
      </c>
      <c r="B145" s="7">
        <v>44430</v>
      </c>
      <c r="C145" s="8" t="str">
        <f t="shared" si="2"/>
        <v>Sun</v>
      </c>
      <c r="D145" s="9">
        <f>SUMIF(Income!C:C,DayBook!B145,Income!D:D)</f>
        <v>0</v>
      </c>
      <c r="E145" s="9">
        <f>SUMIF(Expense!B:B,DayBook!B145,Expense!C:C)</f>
        <v>0</v>
      </c>
    </row>
    <row r="146" spans="1:5" x14ac:dyDescent="0.25">
      <c r="A146" s="6">
        <v>145</v>
      </c>
      <c r="B146" s="7">
        <v>44431</v>
      </c>
      <c r="C146" s="8" t="str">
        <f t="shared" si="2"/>
        <v>Mon</v>
      </c>
      <c r="D146" s="9">
        <f>SUMIF(Income!C:C,DayBook!B146,Income!D:D)</f>
        <v>0</v>
      </c>
      <c r="E146" s="9">
        <f>SUMIF(Expense!B:B,DayBook!B146,Expense!C:C)</f>
        <v>0</v>
      </c>
    </row>
    <row r="147" spans="1:5" x14ac:dyDescent="0.25">
      <c r="A147" s="6">
        <v>146</v>
      </c>
      <c r="B147" s="7">
        <v>44432</v>
      </c>
      <c r="C147" s="8" t="str">
        <f t="shared" si="2"/>
        <v>Tue</v>
      </c>
      <c r="D147" s="9">
        <f>SUMIF(Income!C:C,DayBook!B147,Income!D:D)</f>
        <v>0</v>
      </c>
      <c r="E147" s="9">
        <f>SUMIF(Expense!B:B,DayBook!B147,Expense!C:C)</f>
        <v>0</v>
      </c>
    </row>
    <row r="148" spans="1:5" x14ac:dyDescent="0.25">
      <c r="A148" s="6">
        <v>147</v>
      </c>
      <c r="B148" s="7">
        <v>44433</v>
      </c>
      <c r="C148" s="8" t="str">
        <f t="shared" si="2"/>
        <v>Wed</v>
      </c>
      <c r="D148" s="9">
        <f>SUMIF(Income!C:C,DayBook!B148,Income!D:D)</f>
        <v>0</v>
      </c>
      <c r="E148" s="9">
        <f>SUMIF(Expense!B:B,DayBook!B148,Expense!C:C)</f>
        <v>0</v>
      </c>
    </row>
    <row r="149" spans="1:5" x14ac:dyDescent="0.25">
      <c r="A149" s="6">
        <v>148</v>
      </c>
      <c r="B149" s="7">
        <v>44434</v>
      </c>
      <c r="C149" s="8" t="str">
        <f t="shared" si="2"/>
        <v>Thu</v>
      </c>
      <c r="D149" s="9">
        <f>SUMIF(Income!C:C,DayBook!B149,Income!D:D)</f>
        <v>0</v>
      </c>
      <c r="E149" s="9">
        <f>SUMIF(Expense!B:B,DayBook!B149,Expense!C:C)</f>
        <v>0</v>
      </c>
    </row>
    <row r="150" spans="1:5" x14ac:dyDescent="0.25">
      <c r="A150" s="6">
        <v>149</v>
      </c>
      <c r="B150" s="7">
        <v>44435</v>
      </c>
      <c r="C150" s="8" t="str">
        <f t="shared" si="2"/>
        <v>Fri</v>
      </c>
      <c r="D150" s="9">
        <f>SUMIF(Income!C:C,DayBook!B150,Income!D:D)</f>
        <v>0</v>
      </c>
      <c r="E150" s="9">
        <f>SUMIF(Expense!B:B,DayBook!B150,Expense!C:C)</f>
        <v>0</v>
      </c>
    </row>
    <row r="151" spans="1:5" x14ac:dyDescent="0.25">
      <c r="A151" s="6">
        <v>150</v>
      </c>
      <c r="B151" s="7">
        <v>44436</v>
      </c>
      <c r="C151" s="8" t="str">
        <f t="shared" si="2"/>
        <v>Sat</v>
      </c>
      <c r="D151" s="9">
        <f>SUMIF(Income!C:C,DayBook!B151,Income!D:D)</f>
        <v>0</v>
      </c>
      <c r="E151" s="9">
        <f>SUMIF(Expense!B:B,DayBook!B151,Expense!C:C)</f>
        <v>0</v>
      </c>
    </row>
    <row r="152" spans="1:5" x14ac:dyDescent="0.25">
      <c r="A152" s="6">
        <v>151</v>
      </c>
      <c r="B152" s="7">
        <v>44437</v>
      </c>
      <c r="C152" s="8" t="str">
        <f t="shared" si="2"/>
        <v>Sun</v>
      </c>
      <c r="D152" s="9">
        <f>SUMIF(Income!C:C,DayBook!B152,Income!D:D)</f>
        <v>0</v>
      </c>
      <c r="E152" s="9">
        <f>SUMIF(Expense!B:B,DayBook!B152,Expense!C:C)</f>
        <v>0</v>
      </c>
    </row>
    <row r="153" spans="1:5" x14ac:dyDescent="0.25">
      <c r="A153" s="6">
        <v>152</v>
      </c>
      <c r="B153" s="7">
        <v>44438</v>
      </c>
      <c r="C153" s="8" t="str">
        <f t="shared" si="2"/>
        <v>Mon</v>
      </c>
      <c r="D153" s="9">
        <f>SUMIF(Income!C:C,DayBook!B153,Income!D:D)</f>
        <v>0</v>
      </c>
      <c r="E153" s="9">
        <f>SUMIF(Expense!B:B,DayBook!B153,Expense!C:C)</f>
        <v>0</v>
      </c>
    </row>
    <row r="154" spans="1:5" x14ac:dyDescent="0.25">
      <c r="A154" s="6">
        <v>153</v>
      </c>
      <c r="B154" s="7">
        <v>44439</v>
      </c>
      <c r="C154" s="8" t="str">
        <f t="shared" si="2"/>
        <v>Tue</v>
      </c>
      <c r="D154" s="9">
        <f>SUMIF(Income!C:C,DayBook!B154,Income!D:D)</f>
        <v>0</v>
      </c>
      <c r="E154" s="9">
        <f>SUMIF(Expense!B:B,DayBook!B154,Expense!C:C)</f>
        <v>0</v>
      </c>
    </row>
    <row r="155" spans="1:5" x14ac:dyDescent="0.25">
      <c r="A155" s="6">
        <v>154</v>
      </c>
      <c r="B155" s="7">
        <v>44440</v>
      </c>
      <c r="C155" s="8" t="str">
        <f t="shared" si="2"/>
        <v>Wed</v>
      </c>
      <c r="D155" s="9">
        <f>SUMIF(Income!C:C,DayBook!B155,Income!D:D)</f>
        <v>0</v>
      </c>
      <c r="E155" s="9">
        <f>SUMIF(Expense!B:B,DayBook!B155,Expense!C:C)</f>
        <v>0</v>
      </c>
    </row>
    <row r="156" spans="1:5" x14ac:dyDescent="0.25">
      <c r="A156" s="6">
        <v>155</v>
      </c>
      <c r="B156" s="7">
        <v>44441</v>
      </c>
      <c r="C156" s="8" t="str">
        <f t="shared" si="2"/>
        <v>Thu</v>
      </c>
      <c r="D156" s="9">
        <f>SUMIF(Income!C:C,DayBook!B156,Income!D:D)</f>
        <v>0</v>
      </c>
      <c r="E156" s="9">
        <f>SUMIF(Expense!B:B,DayBook!B156,Expense!C:C)</f>
        <v>0</v>
      </c>
    </row>
    <row r="157" spans="1:5" x14ac:dyDescent="0.25">
      <c r="A157" s="6">
        <v>156</v>
      </c>
      <c r="B157" s="7">
        <v>44442</v>
      </c>
      <c r="C157" s="8" t="str">
        <f t="shared" si="2"/>
        <v>Fri</v>
      </c>
      <c r="D157" s="9">
        <f>SUMIF(Income!C:C,DayBook!B157,Income!D:D)</f>
        <v>0</v>
      </c>
      <c r="E157" s="9">
        <f>SUMIF(Expense!B:B,DayBook!B157,Expense!C:C)</f>
        <v>0</v>
      </c>
    </row>
    <row r="158" spans="1:5" x14ac:dyDescent="0.25">
      <c r="A158" s="6">
        <v>157</v>
      </c>
      <c r="B158" s="7">
        <v>44443</v>
      </c>
      <c r="C158" s="8" t="str">
        <f t="shared" si="2"/>
        <v>Sat</v>
      </c>
      <c r="D158" s="9">
        <f>SUMIF(Income!C:C,DayBook!B158,Income!D:D)</f>
        <v>0</v>
      </c>
      <c r="E158" s="9">
        <f>SUMIF(Expense!B:B,DayBook!B158,Expense!C:C)</f>
        <v>0</v>
      </c>
    </row>
    <row r="159" spans="1:5" x14ac:dyDescent="0.25">
      <c r="A159" s="6">
        <v>158</v>
      </c>
      <c r="B159" s="7">
        <v>44444</v>
      </c>
      <c r="C159" s="8" t="str">
        <f t="shared" si="2"/>
        <v>Sun</v>
      </c>
      <c r="D159" s="9">
        <f>SUMIF(Income!C:C,DayBook!B159,Income!D:D)</f>
        <v>0</v>
      </c>
      <c r="E159" s="9">
        <f>SUMIF(Expense!B:B,DayBook!B159,Expense!C:C)</f>
        <v>0</v>
      </c>
    </row>
    <row r="160" spans="1:5" x14ac:dyDescent="0.25">
      <c r="A160" s="6">
        <v>159</v>
      </c>
      <c r="B160" s="7">
        <v>44445</v>
      </c>
      <c r="C160" s="8" t="str">
        <f t="shared" si="2"/>
        <v>Mon</v>
      </c>
      <c r="D160" s="9">
        <f>SUMIF(Income!C:C,DayBook!B160,Income!D:D)</f>
        <v>0</v>
      </c>
      <c r="E160" s="9">
        <f>SUMIF(Expense!B:B,DayBook!B160,Expense!C:C)</f>
        <v>0</v>
      </c>
    </row>
    <row r="161" spans="1:5" x14ac:dyDescent="0.25">
      <c r="A161" s="6">
        <v>160</v>
      </c>
      <c r="B161" s="7">
        <v>44446</v>
      </c>
      <c r="C161" s="8" t="str">
        <f t="shared" si="2"/>
        <v>Tue</v>
      </c>
      <c r="D161" s="9">
        <f>SUMIF(Income!C:C,DayBook!B161,Income!D:D)</f>
        <v>0</v>
      </c>
      <c r="E161" s="9">
        <f>SUMIF(Expense!B:B,DayBook!B161,Expense!C:C)</f>
        <v>0</v>
      </c>
    </row>
    <row r="162" spans="1:5" x14ac:dyDescent="0.25">
      <c r="A162" s="6">
        <v>161</v>
      </c>
      <c r="B162" s="7">
        <v>44447</v>
      </c>
      <c r="C162" s="8" t="str">
        <f t="shared" si="2"/>
        <v>Wed</v>
      </c>
      <c r="D162" s="9">
        <f>SUMIF(Income!C:C,DayBook!B162,Income!D:D)</f>
        <v>0</v>
      </c>
      <c r="E162" s="9">
        <f>SUMIF(Expense!B:B,DayBook!B162,Expense!C:C)</f>
        <v>0</v>
      </c>
    </row>
    <row r="163" spans="1:5" x14ac:dyDescent="0.25">
      <c r="A163" s="6">
        <v>162</v>
      </c>
      <c r="B163" s="7">
        <v>44448</v>
      </c>
      <c r="C163" s="8" t="str">
        <f t="shared" si="2"/>
        <v>Thu</v>
      </c>
      <c r="D163" s="9">
        <f>SUMIF(Income!C:C,DayBook!B163,Income!D:D)</f>
        <v>0</v>
      </c>
      <c r="E163" s="9">
        <f>SUMIF(Expense!B:B,DayBook!B163,Expense!C:C)</f>
        <v>0</v>
      </c>
    </row>
    <row r="164" spans="1:5" x14ac:dyDescent="0.25">
      <c r="A164" s="6">
        <v>163</v>
      </c>
      <c r="B164" s="7">
        <v>44449</v>
      </c>
      <c r="C164" s="8" t="str">
        <f t="shared" si="2"/>
        <v>Fri</v>
      </c>
      <c r="D164" s="9">
        <f>SUMIF(Income!C:C,DayBook!B164,Income!D:D)</f>
        <v>0</v>
      </c>
      <c r="E164" s="9">
        <f>SUMIF(Expense!B:B,DayBook!B164,Expense!C:C)</f>
        <v>0</v>
      </c>
    </row>
    <row r="165" spans="1:5" x14ac:dyDescent="0.25">
      <c r="A165" s="6">
        <v>164</v>
      </c>
      <c r="B165" s="7">
        <v>44450</v>
      </c>
      <c r="C165" s="8" t="str">
        <f t="shared" si="2"/>
        <v>Sat</v>
      </c>
      <c r="D165" s="9">
        <f>SUMIF(Income!C:C,DayBook!B165,Income!D:D)</f>
        <v>0</v>
      </c>
      <c r="E165" s="9">
        <f>SUMIF(Expense!B:B,DayBook!B165,Expense!C:C)</f>
        <v>0</v>
      </c>
    </row>
    <row r="166" spans="1:5" x14ac:dyDescent="0.25">
      <c r="A166" s="6">
        <v>165</v>
      </c>
      <c r="B166" s="7">
        <v>44451</v>
      </c>
      <c r="C166" s="8" t="str">
        <f t="shared" si="2"/>
        <v>Sun</v>
      </c>
      <c r="D166" s="9">
        <f>SUMIF(Income!C:C,DayBook!B166,Income!D:D)</f>
        <v>0</v>
      </c>
      <c r="E166" s="9">
        <f>SUMIF(Expense!B:B,DayBook!B166,Expense!C:C)</f>
        <v>0</v>
      </c>
    </row>
    <row r="167" spans="1:5" x14ac:dyDescent="0.25">
      <c r="A167" s="6">
        <v>166</v>
      </c>
      <c r="B167" s="7">
        <v>44452</v>
      </c>
      <c r="C167" s="8" t="str">
        <f t="shared" si="2"/>
        <v>Mon</v>
      </c>
      <c r="D167" s="9">
        <f>SUMIF(Income!C:C,DayBook!B167,Income!D:D)</f>
        <v>0</v>
      </c>
      <c r="E167" s="9">
        <f>SUMIF(Expense!B:B,DayBook!B167,Expense!C:C)</f>
        <v>0</v>
      </c>
    </row>
    <row r="168" spans="1:5" x14ac:dyDescent="0.25">
      <c r="A168" s="6">
        <v>167</v>
      </c>
      <c r="B168" s="7">
        <v>44453</v>
      </c>
      <c r="C168" s="8" t="str">
        <f t="shared" si="2"/>
        <v>Tue</v>
      </c>
      <c r="D168" s="9">
        <f>SUMIF(Income!C:C,DayBook!B168,Income!D:D)</f>
        <v>0</v>
      </c>
      <c r="E168" s="9">
        <f>SUMIF(Expense!B:B,DayBook!B168,Expense!C:C)</f>
        <v>0</v>
      </c>
    </row>
    <row r="169" spans="1:5" x14ac:dyDescent="0.25">
      <c r="A169" s="6">
        <v>168</v>
      </c>
      <c r="B169" s="7">
        <v>44454</v>
      </c>
      <c r="C169" s="8" t="str">
        <f t="shared" si="2"/>
        <v>Wed</v>
      </c>
      <c r="D169" s="9">
        <f>SUMIF(Income!C:C,DayBook!B169,Income!D:D)</f>
        <v>0</v>
      </c>
      <c r="E169" s="9">
        <f>SUMIF(Expense!B:B,DayBook!B169,Expense!C:C)</f>
        <v>0</v>
      </c>
    </row>
    <row r="170" spans="1:5" x14ac:dyDescent="0.25">
      <c r="A170" s="6">
        <v>169</v>
      </c>
      <c r="B170" s="7">
        <v>44455</v>
      </c>
      <c r="C170" s="8" t="str">
        <f t="shared" si="2"/>
        <v>Thu</v>
      </c>
      <c r="D170" s="9">
        <f>SUMIF(Income!C:C,DayBook!B170,Income!D:D)</f>
        <v>0</v>
      </c>
      <c r="E170" s="9">
        <f>SUMIF(Expense!B:B,DayBook!B170,Expense!C:C)</f>
        <v>0</v>
      </c>
    </row>
    <row r="171" spans="1:5" x14ac:dyDescent="0.25">
      <c r="A171" s="6">
        <v>170</v>
      </c>
      <c r="B171" s="7">
        <v>44456</v>
      </c>
      <c r="C171" s="8" t="str">
        <f t="shared" si="2"/>
        <v>Fri</v>
      </c>
      <c r="D171" s="9">
        <f>SUMIF(Income!C:C,DayBook!B171,Income!D:D)</f>
        <v>0</v>
      </c>
      <c r="E171" s="9">
        <f>SUMIF(Expense!B:B,DayBook!B171,Expense!C:C)</f>
        <v>0</v>
      </c>
    </row>
    <row r="172" spans="1:5" x14ac:dyDescent="0.25">
      <c r="A172" s="6">
        <v>171</v>
      </c>
      <c r="B172" s="7">
        <v>44457</v>
      </c>
      <c r="C172" s="8" t="str">
        <f t="shared" si="2"/>
        <v>Sat</v>
      </c>
      <c r="D172" s="9">
        <f>SUMIF(Income!C:C,DayBook!B172,Income!D:D)</f>
        <v>0</v>
      </c>
      <c r="E172" s="9">
        <f>SUMIF(Expense!B:B,DayBook!B172,Expense!C:C)</f>
        <v>0</v>
      </c>
    </row>
    <row r="173" spans="1:5" x14ac:dyDescent="0.25">
      <c r="A173" s="6">
        <v>172</v>
      </c>
      <c r="B173" s="7">
        <v>44458</v>
      </c>
      <c r="C173" s="8" t="str">
        <f t="shared" si="2"/>
        <v>Sun</v>
      </c>
      <c r="D173" s="9">
        <f>SUMIF(Income!C:C,DayBook!B173,Income!D:D)</f>
        <v>0</v>
      </c>
      <c r="E173" s="9">
        <f>SUMIF(Expense!B:B,DayBook!B173,Expense!C:C)</f>
        <v>0</v>
      </c>
    </row>
    <row r="174" spans="1:5" x14ac:dyDescent="0.25">
      <c r="A174" s="6">
        <v>173</v>
      </c>
      <c r="B174" s="7">
        <v>44459</v>
      </c>
      <c r="C174" s="8" t="str">
        <f t="shared" si="2"/>
        <v>Mon</v>
      </c>
      <c r="D174" s="9">
        <f>SUMIF(Income!C:C,DayBook!B174,Income!D:D)</f>
        <v>0</v>
      </c>
      <c r="E174" s="9">
        <f>SUMIF(Expense!B:B,DayBook!B174,Expense!C:C)</f>
        <v>0</v>
      </c>
    </row>
    <row r="175" spans="1:5" x14ac:dyDescent="0.25">
      <c r="A175" s="6">
        <v>174</v>
      </c>
      <c r="B175" s="7">
        <v>44460</v>
      </c>
      <c r="C175" s="8" t="str">
        <f t="shared" si="2"/>
        <v>Tue</v>
      </c>
      <c r="D175" s="9">
        <f>SUMIF(Income!C:C,DayBook!B175,Income!D:D)</f>
        <v>0</v>
      </c>
      <c r="E175" s="9">
        <f>SUMIF(Expense!B:B,DayBook!B175,Expense!C:C)</f>
        <v>0</v>
      </c>
    </row>
    <row r="176" spans="1:5" x14ac:dyDescent="0.25">
      <c r="A176" s="6">
        <v>175</v>
      </c>
      <c r="B176" s="7">
        <v>44461</v>
      </c>
      <c r="C176" s="8" t="str">
        <f t="shared" si="2"/>
        <v>Wed</v>
      </c>
      <c r="D176" s="9">
        <f>SUMIF(Income!C:C,DayBook!B176,Income!D:D)</f>
        <v>0</v>
      </c>
      <c r="E176" s="9">
        <f>SUMIF(Expense!B:B,DayBook!B176,Expense!C:C)</f>
        <v>0</v>
      </c>
    </row>
    <row r="177" spans="1:5" x14ac:dyDescent="0.25">
      <c r="A177" s="6">
        <v>176</v>
      </c>
      <c r="B177" s="7">
        <v>44462</v>
      </c>
      <c r="C177" s="8" t="str">
        <f t="shared" si="2"/>
        <v>Thu</v>
      </c>
      <c r="D177" s="9">
        <f>SUMIF(Income!C:C,DayBook!B177,Income!D:D)</f>
        <v>0</v>
      </c>
      <c r="E177" s="9">
        <f>SUMIF(Expense!B:B,DayBook!B177,Expense!C:C)</f>
        <v>0</v>
      </c>
    </row>
    <row r="178" spans="1:5" x14ac:dyDescent="0.25">
      <c r="A178" s="6">
        <v>177</v>
      </c>
      <c r="B178" s="7">
        <v>44463</v>
      </c>
      <c r="C178" s="8" t="str">
        <f t="shared" si="2"/>
        <v>Fri</v>
      </c>
      <c r="D178" s="9">
        <f>SUMIF(Income!C:C,DayBook!B178,Income!D:D)</f>
        <v>0</v>
      </c>
      <c r="E178" s="9">
        <f>SUMIF(Expense!B:B,DayBook!B178,Expense!C:C)</f>
        <v>0</v>
      </c>
    </row>
    <row r="179" spans="1:5" x14ac:dyDescent="0.25">
      <c r="A179" s="6">
        <v>178</v>
      </c>
      <c r="B179" s="7">
        <v>44464</v>
      </c>
      <c r="C179" s="8" t="str">
        <f t="shared" si="2"/>
        <v>Sat</v>
      </c>
      <c r="D179" s="9">
        <f>SUMIF(Income!C:C,DayBook!B179,Income!D:D)</f>
        <v>0</v>
      </c>
      <c r="E179" s="9">
        <f>SUMIF(Expense!B:B,DayBook!B179,Expense!C:C)</f>
        <v>0</v>
      </c>
    </row>
    <row r="180" spans="1:5" x14ac:dyDescent="0.25">
      <c r="A180" s="6">
        <v>179</v>
      </c>
      <c r="B180" s="7">
        <v>44465</v>
      </c>
      <c r="C180" s="8" t="str">
        <f t="shared" si="2"/>
        <v>Sun</v>
      </c>
      <c r="D180" s="9">
        <f>SUMIF(Income!C:C,DayBook!B180,Income!D:D)</f>
        <v>0</v>
      </c>
      <c r="E180" s="9">
        <f>SUMIF(Expense!B:B,DayBook!B180,Expense!C:C)</f>
        <v>0</v>
      </c>
    </row>
    <row r="181" spans="1:5" x14ac:dyDescent="0.25">
      <c r="A181" s="6">
        <v>180</v>
      </c>
      <c r="B181" s="7">
        <v>44466</v>
      </c>
      <c r="C181" s="8" t="str">
        <f t="shared" si="2"/>
        <v>Mon</v>
      </c>
      <c r="D181" s="9">
        <f>SUMIF(Income!C:C,DayBook!B181,Income!D:D)</f>
        <v>0</v>
      </c>
      <c r="E181" s="9">
        <f>SUMIF(Expense!B:B,DayBook!B181,Expense!C:C)</f>
        <v>0</v>
      </c>
    </row>
    <row r="182" spans="1:5" x14ac:dyDescent="0.25">
      <c r="A182" s="6">
        <v>181</v>
      </c>
      <c r="B182" s="7">
        <v>44467</v>
      </c>
      <c r="C182" s="8" t="str">
        <f t="shared" si="2"/>
        <v>Tue</v>
      </c>
      <c r="D182" s="9">
        <f>SUMIF(Income!C:C,DayBook!B182,Income!D:D)</f>
        <v>0</v>
      </c>
      <c r="E182" s="9">
        <f>SUMIF(Expense!B:B,DayBook!B182,Expense!C:C)</f>
        <v>0</v>
      </c>
    </row>
    <row r="183" spans="1:5" x14ac:dyDescent="0.25">
      <c r="A183" s="6">
        <v>182</v>
      </c>
      <c r="B183" s="7">
        <v>44468</v>
      </c>
      <c r="C183" s="8" t="str">
        <f t="shared" si="2"/>
        <v>Wed</v>
      </c>
      <c r="D183" s="9">
        <f>SUMIF(Income!C:C,DayBook!B183,Income!D:D)</f>
        <v>0</v>
      </c>
      <c r="E183" s="9">
        <f>SUMIF(Expense!B:B,DayBook!B183,Expense!C:C)</f>
        <v>0</v>
      </c>
    </row>
    <row r="184" spans="1:5" x14ac:dyDescent="0.25">
      <c r="A184" s="6">
        <v>183</v>
      </c>
      <c r="B184" s="7">
        <v>44469</v>
      </c>
      <c r="C184" s="8" t="str">
        <f t="shared" si="2"/>
        <v>Thu</v>
      </c>
      <c r="D184" s="9">
        <f>SUMIF(Income!C:C,DayBook!B184,Income!D:D)</f>
        <v>0</v>
      </c>
      <c r="E184" s="9">
        <f>SUMIF(Expense!B:B,DayBook!B184,Expense!C:C)</f>
        <v>0</v>
      </c>
    </row>
    <row r="185" spans="1:5" x14ac:dyDescent="0.25">
      <c r="A185" s="6">
        <v>184</v>
      </c>
      <c r="B185" s="7">
        <v>44470</v>
      </c>
      <c r="C185" s="8" t="str">
        <f t="shared" si="2"/>
        <v>Fri</v>
      </c>
      <c r="D185" s="9">
        <f>SUMIF(Income!C:C,DayBook!B185,Income!D:D)</f>
        <v>0</v>
      </c>
      <c r="E185" s="9">
        <f>SUMIF(Expense!B:B,DayBook!B185,Expense!C:C)</f>
        <v>0</v>
      </c>
    </row>
    <row r="186" spans="1:5" x14ac:dyDescent="0.25">
      <c r="A186" s="6">
        <v>185</v>
      </c>
      <c r="B186" s="7">
        <v>44471</v>
      </c>
      <c r="C186" s="8" t="str">
        <f t="shared" si="2"/>
        <v>Sat</v>
      </c>
      <c r="D186" s="9">
        <f>SUMIF(Income!C:C,DayBook!B186,Income!D:D)</f>
        <v>0</v>
      </c>
      <c r="E186" s="9">
        <f>SUMIF(Expense!B:B,DayBook!B186,Expense!C:C)</f>
        <v>0</v>
      </c>
    </row>
    <row r="187" spans="1:5" x14ac:dyDescent="0.25">
      <c r="A187" s="6">
        <v>186</v>
      </c>
      <c r="B187" s="7">
        <v>44472</v>
      </c>
      <c r="C187" s="8" t="str">
        <f t="shared" si="2"/>
        <v>Sun</v>
      </c>
      <c r="D187" s="9">
        <f>SUMIF(Income!C:C,DayBook!B187,Income!D:D)</f>
        <v>0</v>
      </c>
      <c r="E187" s="9">
        <f>SUMIF(Expense!B:B,DayBook!B187,Expense!C:C)</f>
        <v>0</v>
      </c>
    </row>
    <row r="188" spans="1:5" x14ac:dyDescent="0.25">
      <c r="A188" s="6">
        <v>187</v>
      </c>
      <c r="B188" s="7">
        <v>44473</v>
      </c>
      <c r="C188" s="8" t="str">
        <f t="shared" si="2"/>
        <v>Mon</v>
      </c>
      <c r="D188" s="9">
        <f>SUMIF(Income!C:C,DayBook!B188,Income!D:D)</f>
        <v>0</v>
      </c>
      <c r="E188" s="9">
        <f>SUMIF(Expense!B:B,DayBook!B188,Expense!C:C)</f>
        <v>0</v>
      </c>
    </row>
    <row r="189" spans="1:5" x14ac:dyDescent="0.25">
      <c r="A189" s="6">
        <v>188</v>
      </c>
      <c r="B189" s="7">
        <v>44474</v>
      </c>
      <c r="C189" s="8" t="str">
        <f t="shared" si="2"/>
        <v>Tue</v>
      </c>
      <c r="D189" s="9">
        <f>SUMIF(Income!C:C,DayBook!B189,Income!D:D)</f>
        <v>0</v>
      </c>
      <c r="E189" s="9">
        <f>SUMIF(Expense!B:B,DayBook!B189,Expense!C:C)</f>
        <v>0</v>
      </c>
    </row>
    <row r="190" spans="1:5" x14ac:dyDescent="0.25">
      <c r="A190" s="6">
        <v>189</v>
      </c>
      <c r="B190" s="7">
        <v>44475</v>
      </c>
      <c r="C190" s="8" t="str">
        <f t="shared" si="2"/>
        <v>Wed</v>
      </c>
      <c r="D190" s="9">
        <f>SUMIF(Income!C:C,DayBook!B190,Income!D:D)</f>
        <v>0</v>
      </c>
      <c r="E190" s="9">
        <f>SUMIF(Expense!B:B,DayBook!B190,Expense!C:C)</f>
        <v>0</v>
      </c>
    </row>
    <row r="191" spans="1:5" x14ac:dyDescent="0.25">
      <c r="A191" s="6">
        <v>190</v>
      </c>
      <c r="B191" s="7">
        <v>44476</v>
      </c>
      <c r="C191" s="8" t="str">
        <f t="shared" si="2"/>
        <v>Thu</v>
      </c>
      <c r="D191" s="9">
        <f>SUMIF(Income!C:C,DayBook!B191,Income!D:D)</f>
        <v>0</v>
      </c>
      <c r="E191" s="9">
        <f>SUMIF(Expense!B:B,DayBook!B191,Expense!C:C)</f>
        <v>0</v>
      </c>
    </row>
    <row r="192" spans="1:5" x14ac:dyDescent="0.25">
      <c r="A192" s="6">
        <v>191</v>
      </c>
      <c r="B192" s="7">
        <v>44477</v>
      </c>
      <c r="C192" s="8" t="str">
        <f t="shared" si="2"/>
        <v>Fri</v>
      </c>
      <c r="D192" s="9">
        <f>SUMIF(Income!C:C,DayBook!B192,Income!D:D)</f>
        <v>0</v>
      </c>
      <c r="E192" s="9">
        <f>SUMIF(Expense!B:B,DayBook!B192,Expense!C:C)</f>
        <v>0</v>
      </c>
    </row>
    <row r="193" spans="1:5" x14ac:dyDescent="0.25">
      <c r="A193" s="6">
        <v>192</v>
      </c>
      <c r="B193" s="7">
        <v>44478</v>
      </c>
      <c r="C193" s="8" t="str">
        <f t="shared" si="2"/>
        <v>Sat</v>
      </c>
      <c r="D193" s="9">
        <f>SUMIF(Income!C:C,DayBook!B193,Income!D:D)</f>
        <v>0</v>
      </c>
      <c r="E193" s="9">
        <f>SUMIF(Expense!B:B,DayBook!B193,Expense!C:C)</f>
        <v>0</v>
      </c>
    </row>
    <row r="194" spans="1:5" x14ac:dyDescent="0.25">
      <c r="A194" s="6">
        <v>193</v>
      </c>
      <c r="B194" s="7">
        <v>44479</v>
      </c>
      <c r="C194" s="8" t="str">
        <f t="shared" si="2"/>
        <v>Sun</v>
      </c>
      <c r="D194" s="9">
        <f>SUMIF(Income!C:C,DayBook!B194,Income!D:D)</f>
        <v>0</v>
      </c>
      <c r="E194" s="9">
        <f>SUMIF(Expense!B:B,DayBook!B194,Expense!C:C)</f>
        <v>0</v>
      </c>
    </row>
    <row r="195" spans="1:5" x14ac:dyDescent="0.25">
      <c r="A195" s="6">
        <v>194</v>
      </c>
      <c r="B195" s="7">
        <v>44480</v>
      </c>
      <c r="C195" s="8" t="str">
        <f t="shared" ref="C195:C258" si="3">TEXT(B195,"ddd")</f>
        <v>Mon</v>
      </c>
      <c r="D195" s="9">
        <f>SUMIF(Income!C:C,DayBook!B195,Income!D:D)</f>
        <v>0</v>
      </c>
      <c r="E195" s="9">
        <f>SUMIF(Expense!B:B,DayBook!B195,Expense!C:C)</f>
        <v>0</v>
      </c>
    </row>
    <row r="196" spans="1:5" x14ac:dyDescent="0.25">
      <c r="A196" s="6">
        <v>195</v>
      </c>
      <c r="B196" s="7">
        <v>44481</v>
      </c>
      <c r="C196" s="8" t="str">
        <f t="shared" si="3"/>
        <v>Tue</v>
      </c>
      <c r="D196" s="9">
        <f>SUMIF(Income!C:C,DayBook!B196,Income!D:D)</f>
        <v>0</v>
      </c>
      <c r="E196" s="9">
        <f>SUMIF(Expense!B:B,DayBook!B196,Expense!C:C)</f>
        <v>0</v>
      </c>
    </row>
    <row r="197" spans="1:5" x14ac:dyDescent="0.25">
      <c r="A197" s="6">
        <v>196</v>
      </c>
      <c r="B197" s="7">
        <v>44482</v>
      </c>
      <c r="C197" s="8" t="str">
        <f t="shared" si="3"/>
        <v>Wed</v>
      </c>
      <c r="D197" s="9">
        <f>SUMIF(Income!C:C,DayBook!B197,Income!D:D)</f>
        <v>0</v>
      </c>
      <c r="E197" s="9">
        <f>SUMIF(Expense!B:B,DayBook!B197,Expense!C:C)</f>
        <v>0</v>
      </c>
    </row>
    <row r="198" spans="1:5" x14ac:dyDescent="0.25">
      <c r="A198" s="6">
        <v>197</v>
      </c>
      <c r="B198" s="7">
        <v>44483</v>
      </c>
      <c r="C198" s="8" t="str">
        <f t="shared" si="3"/>
        <v>Thu</v>
      </c>
      <c r="D198" s="9">
        <f>SUMIF(Income!C:C,DayBook!B198,Income!D:D)</f>
        <v>0</v>
      </c>
      <c r="E198" s="9">
        <f>SUMIF(Expense!B:B,DayBook!B198,Expense!C:C)</f>
        <v>0</v>
      </c>
    </row>
    <row r="199" spans="1:5" x14ac:dyDescent="0.25">
      <c r="A199" s="6">
        <v>198</v>
      </c>
      <c r="B199" s="7">
        <v>44484</v>
      </c>
      <c r="C199" s="8" t="str">
        <f t="shared" si="3"/>
        <v>Fri</v>
      </c>
      <c r="D199" s="9">
        <f>SUMIF(Income!C:C,DayBook!B199,Income!D:D)</f>
        <v>0</v>
      </c>
      <c r="E199" s="9">
        <f>SUMIF(Expense!B:B,DayBook!B199,Expense!C:C)</f>
        <v>0</v>
      </c>
    </row>
    <row r="200" spans="1:5" x14ac:dyDescent="0.25">
      <c r="A200" s="6">
        <v>199</v>
      </c>
      <c r="B200" s="7">
        <v>44485</v>
      </c>
      <c r="C200" s="8" t="str">
        <f t="shared" si="3"/>
        <v>Sat</v>
      </c>
      <c r="D200" s="9">
        <f>SUMIF(Income!C:C,DayBook!B200,Income!D:D)</f>
        <v>0</v>
      </c>
      <c r="E200" s="9">
        <f>SUMIF(Expense!B:B,DayBook!B200,Expense!C:C)</f>
        <v>0</v>
      </c>
    </row>
    <row r="201" spans="1:5" x14ac:dyDescent="0.25">
      <c r="A201" s="6">
        <v>200</v>
      </c>
      <c r="B201" s="7">
        <v>44486</v>
      </c>
      <c r="C201" s="8" t="str">
        <f t="shared" si="3"/>
        <v>Sun</v>
      </c>
      <c r="D201" s="9">
        <f>SUMIF(Income!C:C,DayBook!B201,Income!D:D)</f>
        <v>0</v>
      </c>
      <c r="E201" s="9">
        <f>SUMIF(Expense!B:B,DayBook!B201,Expense!C:C)</f>
        <v>0</v>
      </c>
    </row>
    <row r="202" spans="1:5" x14ac:dyDescent="0.25">
      <c r="A202" s="6">
        <v>201</v>
      </c>
      <c r="B202" s="7">
        <v>44487</v>
      </c>
      <c r="C202" s="8" t="str">
        <f t="shared" si="3"/>
        <v>Mon</v>
      </c>
      <c r="D202" s="9">
        <f>SUMIF(Income!C:C,DayBook!B202,Income!D:D)</f>
        <v>0</v>
      </c>
      <c r="E202" s="9">
        <f>SUMIF(Expense!B:B,DayBook!B202,Expense!C:C)</f>
        <v>0</v>
      </c>
    </row>
    <row r="203" spans="1:5" x14ac:dyDescent="0.25">
      <c r="A203" s="6">
        <v>202</v>
      </c>
      <c r="B203" s="7">
        <v>44488</v>
      </c>
      <c r="C203" s="8" t="str">
        <f t="shared" si="3"/>
        <v>Tue</v>
      </c>
      <c r="D203" s="9">
        <f>SUMIF(Income!C:C,DayBook!B203,Income!D:D)</f>
        <v>0</v>
      </c>
      <c r="E203" s="9">
        <f>SUMIF(Expense!B:B,DayBook!B203,Expense!C:C)</f>
        <v>0</v>
      </c>
    </row>
    <row r="204" spans="1:5" x14ac:dyDescent="0.25">
      <c r="A204" s="6">
        <v>203</v>
      </c>
      <c r="B204" s="7">
        <v>44489</v>
      </c>
      <c r="C204" s="8" t="str">
        <f t="shared" si="3"/>
        <v>Wed</v>
      </c>
      <c r="D204" s="9">
        <f>SUMIF(Income!C:C,DayBook!B204,Income!D:D)</f>
        <v>0</v>
      </c>
      <c r="E204" s="9">
        <f>SUMIF(Expense!B:B,DayBook!B204,Expense!C:C)</f>
        <v>0</v>
      </c>
    </row>
    <row r="205" spans="1:5" x14ac:dyDescent="0.25">
      <c r="A205" s="6">
        <v>204</v>
      </c>
      <c r="B205" s="7">
        <v>44490</v>
      </c>
      <c r="C205" s="8" t="str">
        <f t="shared" si="3"/>
        <v>Thu</v>
      </c>
      <c r="D205" s="9">
        <f>SUMIF(Income!C:C,DayBook!B205,Income!D:D)</f>
        <v>0</v>
      </c>
      <c r="E205" s="9">
        <f>SUMIF(Expense!B:B,DayBook!B205,Expense!C:C)</f>
        <v>0</v>
      </c>
    </row>
    <row r="206" spans="1:5" x14ac:dyDescent="0.25">
      <c r="A206" s="6">
        <v>205</v>
      </c>
      <c r="B206" s="7">
        <v>44491</v>
      </c>
      <c r="C206" s="8" t="str">
        <f t="shared" si="3"/>
        <v>Fri</v>
      </c>
      <c r="D206" s="9">
        <f>SUMIF(Income!C:C,DayBook!B206,Income!D:D)</f>
        <v>0</v>
      </c>
      <c r="E206" s="9">
        <f>SUMIF(Expense!B:B,DayBook!B206,Expense!C:C)</f>
        <v>0</v>
      </c>
    </row>
    <row r="207" spans="1:5" x14ac:dyDescent="0.25">
      <c r="A207" s="6">
        <v>206</v>
      </c>
      <c r="B207" s="7">
        <v>44492</v>
      </c>
      <c r="C207" s="8" t="str">
        <f t="shared" si="3"/>
        <v>Sat</v>
      </c>
      <c r="D207" s="9">
        <f>SUMIF(Income!C:C,DayBook!B207,Income!D:D)</f>
        <v>0</v>
      </c>
      <c r="E207" s="9">
        <f>SUMIF(Expense!B:B,DayBook!B207,Expense!C:C)</f>
        <v>0</v>
      </c>
    </row>
    <row r="208" spans="1:5" x14ac:dyDescent="0.25">
      <c r="A208" s="6">
        <v>207</v>
      </c>
      <c r="B208" s="7">
        <v>44493</v>
      </c>
      <c r="C208" s="8" t="str">
        <f t="shared" si="3"/>
        <v>Sun</v>
      </c>
      <c r="D208" s="9">
        <f>SUMIF(Income!C:C,DayBook!B208,Income!D:D)</f>
        <v>0</v>
      </c>
      <c r="E208" s="9">
        <f>SUMIF(Expense!B:B,DayBook!B208,Expense!C:C)</f>
        <v>0</v>
      </c>
    </row>
    <row r="209" spans="1:5" x14ac:dyDescent="0.25">
      <c r="A209" s="6">
        <v>208</v>
      </c>
      <c r="B209" s="7">
        <v>44494</v>
      </c>
      <c r="C209" s="8" t="str">
        <f t="shared" si="3"/>
        <v>Mon</v>
      </c>
      <c r="D209" s="9">
        <f>SUMIF(Income!C:C,DayBook!B209,Income!D:D)</f>
        <v>0</v>
      </c>
      <c r="E209" s="9">
        <f>SUMIF(Expense!B:B,DayBook!B209,Expense!C:C)</f>
        <v>0</v>
      </c>
    </row>
    <row r="210" spans="1:5" x14ac:dyDescent="0.25">
      <c r="A210" s="6">
        <v>209</v>
      </c>
      <c r="B210" s="7">
        <v>44495</v>
      </c>
      <c r="C210" s="8" t="str">
        <f t="shared" si="3"/>
        <v>Tue</v>
      </c>
      <c r="D210" s="9">
        <f>SUMIF(Income!C:C,DayBook!B210,Income!D:D)</f>
        <v>0</v>
      </c>
      <c r="E210" s="9">
        <f>SUMIF(Expense!B:B,DayBook!B210,Expense!C:C)</f>
        <v>0</v>
      </c>
    </row>
    <row r="211" spans="1:5" x14ac:dyDescent="0.25">
      <c r="A211" s="6">
        <v>210</v>
      </c>
      <c r="B211" s="7">
        <v>44496</v>
      </c>
      <c r="C211" s="8" t="str">
        <f t="shared" si="3"/>
        <v>Wed</v>
      </c>
      <c r="D211" s="9">
        <f>SUMIF(Income!C:C,DayBook!B211,Income!D:D)</f>
        <v>0</v>
      </c>
      <c r="E211" s="9">
        <f>SUMIF(Expense!B:B,DayBook!B211,Expense!C:C)</f>
        <v>0</v>
      </c>
    </row>
    <row r="212" spans="1:5" x14ac:dyDescent="0.25">
      <c r="A212" s="6">
        <v>211</v>
      </c>
      <c r="B212" s="7">
        <v>44497</v>
      </c>
      <c r="C212" s="8" t="str">
        <f t="shared" si="3"/>
        <v>Thu</v>
      </c>
      <c r="D212" s="9">
        <f>SUMIF(Income!C:C,DayBook!B212,Income!D:D)</f>
        <v>0</v>
      </c>
      <c r="E212" s="9">
        <f>SUMIF(Expense!B:B,DayBook!B212,Expense!C:C)</f>
        <v>0</v>
      </c>
    </row>
    <row r="213" spans="1:5" x14ac:dyDescent="0.25">
      <c r="A213" s="6">
        <v>212</v>
      </c>
      <c r="B213" s="7">
        <v>44498</v>
      </c>
      <c r="C213" s="8" t="str">
        <f t="shared" si="3"/>
        <v>Fri</v>
      </c>
      <c r="D213" s="9">
        <f>SUMIF(Income!C:C,DayBook!B213,Income!D:D)</f>
        <v>0</v>
      </c>
      <c r="E213" s="9">
        <f>SUMIF(Expense!B:B,DayBook!B213,Expense!C:C)</f>
        <v>0</v>
      </c>
    </row>
    <row r="214" spans="1:5" x14ac:dyDescent="0.25">
      <c r="A214" s="6">
        <v>213</v>
      </c>
      <c r="B214" s="7">
        <v>44499</v>
      </c>
      <c r="C214" s="8" t="str">
        <f t="shared" si="3"/>
        <v>Sat</v>
      </c>
      <c r="D214" s="9">
        <f>SUMIF(Income!C:C,DayBook!B214,Income!D:D)</f>
        <v>0</v>
      </c>
      <c r="E214" s="9">
        <f>SUMIF(Expense!B:B,DayBook!B214,Expense!C:C)</f>
        <v>0</v>
      </c>
    </row>
    <row r="215" spans="1:5" x14ac:dyDescent="0.25">
      <c r="A215" s="6">
        <v>214</v>
      </c>
      <c r="B215" s="7">
        <v>44500</v>
      </c>
      <c r="C215" s="8" t="str">
        <f t="shared" si="3"/>
        <v>Sun</v>
      </c>
      <c r="D215" s="9">
        <f>SUMIF(Income!C:C,DayBook!B215,Income!D:D)</f>
        <v>0</v>
      </c>
      <c r="E215" s="9">
        <f>SUMIF(Expense!B:B,DayBook!B215,Expense!C:C)</f>
        <v>0</v>
      </c>
    </row>
    <row r="216" spans="1:5" x14ac:dyDescent="0.25">
      <c r="A216" s="6">
        <v>215</v>
      </c>
      <c r="B216" s="7">
        <v>44501</v>
      </c>
      <c r="C216" s="8" t="str">
        <f t="shared" si="3"/>
        <v>Mon</v>
      </c>
      <c r="D216" s="9">
        <f>SUMIF(Income!C:C,DayBook!B216,Income!D:D)</f>
        <v>0</v>
      </c>
      <c r="E216" s="9">
        <f>SUMIF(Expense!B:B,DayBook!B216,Expense!C:C)</f>
        <v>0</v>
      </c>
    </row>
    <row r="217" spans="1:5" x14ac:dyDescent="0.25">
      <c r="A217" s="6">
        <v>216</v>
      </c>
      <c r="B217" s="7">
        <v>44502</v>
      </c>
      <c r="C217" s="8" t="str">
        <f t="shared" si="3"/>
        <v>Tue</v>
      </c>
      <c r="D217" s="9">
        <f>SUMIF(Income!C:C,DayBook!B217,Income!D:D)</f>
        <v>0</v>
      </c>
      <c r="E217" s="9">
        <f>SUMIF(Expense!B:B,DayBook!B217,Expense!C:C)</f>
        <v>0</v>
      </c>
    </row>
    <row r="218" spans="1:5" x14ac:dyDescent="0.25">
      <c r="A218" s="6">
        <v>217</v>
      </c>
      <c r="B218" s="7">
        <v>44503</v>
      </c>
      <c r="C218" s="8" t="str">
        <f t="shared" si="3"/>
        <v>Wed</v>
      </c>
      <c r="D218" s="9">
        <f>SUMIF(Income!C:C,DayBook!B218,Income!D:D)</f>
        <v>0</v>
      </c>
      <c r="E218" s="9">
        <f>SUMIF(Expense!B:B,DayBook!B218,Expense!C:C)</f>
        <v>0</v>
      </c>
    </row>
    <row r="219" spans="1:5" x14ac:dyDescent="0.25">
      <c r="A219" s="6">
        <v>218</v>
      </c>
      <c r="B219" s="7">
        <v>44504</v>
      </c>
      <c r="C219" s="8" t="str">
        <f t="shared" si="3"/>
        <v>Thu</v>
      </c>
      <c r="D219" s="9">
        <f>SUMIF(Income!C:C,DayBook!B219,Income!D:D)</f>
        <v>0</v>
      </c>
      <c r="E219" s="9">
        <f>SUMIF(Expense!B:B,DayBook!B219,Expense!C:C)</f>
        <v>0</v>
      </c>
    </row>
    <row r="220" spans="1:5" x14ac:dyDescent="0.25">
      <c r="A220" s="6">
        <v>219</v>
      </c>
      <c r="B220" s="7">
        <v>44505</v>
      </c>
      <c r="C220" s="8" t="str">
        <f t="shared" si="3"/>
        <v>Fri</v>
      </c>
      <c r="D220" s="9">
        <f>SUMIF(Income!C:C,DayBook!B220,Income!D:D)</f>
        <v>0</v>
      </c>
      <c r="E220" s="9">
        <f>SUMIF(Expense!B:B,DayBook!B220,Expense!C:C)</f>
        <v>0</v>
      </c>
    </row>
    <row r="221" spans="1:5" x14ac:dyDescent="0.25">
      <c r="A221" s="6">
        <v>220</v>
      </c>
      <c r="B221" s="7">
        <v>44506</v>
      </c>
      <c r="C221" s="8" t="str">
        <f t="shared" si="3"/>
        <v>Sat</v>
      </c>
      <c r="D221" s="9">
        <f>SUMIF(Income!C:C,DayBook!B221,Income!D:D)</f>
        <v>0</v>
      </c>
      <c r="E221" s="9">
        <f>SUMIF(Expense!B:B,DayBook!B221,Expense!C:C)</f>
        <v>0</v>
      </c>
    </row>
    <row r="222" spans="1:5" x14ac:dyDescent="0.25">
      <c r="A222" s="6">
        <v>221</v>
      </c>
      <c r="B222" s="7">
        <v>44507</v>
      </c>
      <c r="C222" s="8" t="str">
        <f t="shared" si="3"/>
        <v>Sun</v>
      </c>
      <c r="D222" s="9">
        <f>SUMIF(Income!C:C,DayBook!B222,Income!D:D)</f>
        <v>0</v>
      </c>
      <c r="E222" s="9">
        <f>SUMIF(Expense!B:B,DayBook!B222,Expense!C:C)</f>
        <v>0</v>
      </c>
    </row>
    <row r="223" spans="1:5" x14ac:dyDescent="0.25">
      <c r="A223" s="6">
        <v>222</v>
      </c>
      <c r="B223" s="7">
        <v>44508</v>
      </c>
      <c r="C223" s="8" t="str">
        <f t="shared" si="3"/>
        <v>Mon</v>
      </c>
      <c r="D223" s="9">
        <f>SUMIF(Income!C:C,DayBook!B223,Income!D:D)</f>
        <v>0</v>
      </c>
      <c r="E223" s="9">
        <f>SUMIF(Expense!B:B,DayBook!B223,Expense!C:C)</f>
        <v>0</v>
      </c>
    </row>
    <row r="224" spans="1:5" x14ac:dyDescent="0.25">
      <c r="A224" s="6">
        <v>223</v>
      </c>
      <c r="B224" s="7">
        <v>44509</v>
      </c>
      <c r="C224" s="8" t="str">
        <f t="shared" si="3"/>
        <v>Tue</v>
      </c>
      <c r="D224" s="9">
        <f>SUMIF(Income!C:C,DayBook!B224,Income!D:D)</f>
        <v>0</v>
      </c>
      <c r="E224" s="9">
        <f>SUMIF(Expense!B:B,DayBook!B224,Expense!C:C)</f>
        <v>0</v>
      </c>
    </row>
    <row r="225" spans="1:5" x14ac:dyDescent="0.25">
      <c r="A225" s="6">
        <v>224</v>
      </c>
      <c r="B225" s="7">
        <v>44510</v>
      </c>
      <c r="C225" s="8" t="str">
        <f t="shared" si="3"/>
        <v>Wed</v>
      </c>
      <c r="D225" s="9">
        <f>SUMIF(Income!C:C,DayBook!B225,Income!D:D)</f>
        <v>0</v>
      </c>
      <c r="E225" s="9">
        <f>SUMIF(Expense!B:B,DayBook!B225,Expense!C:C)</f>
        <v>0</v>
      </c>
    </row>
    <row r="226" spans="1:5" x14ac:dyDescent="0.25">
      <c r="A226" s="6">
        <v>225</v>
      </c>
      <c r="B226" s="7">
        <v>44511</v>
      </c>
      <c r="C226" s="8" t="str">
        <f t="shared" si="3"/>
        <v>Thu</v>
      </c>
      <c r="D226" s="9">
        <f>SUMIF(Income!C:C,DayBook!B226,Income!D:D)</f>
        <v>0</v>
      </c>
      <c r="E226" s="9">
        <f>SUMIF(Expense!B:B,DayBook!B226,Expense!C:C)</f>
        <v>0</v>
      </c>
    </row>
    <row r="227" spans="1:5" x14ac:dyDescent="0.25">
      <c r="A227" s="6">
        <v>226</v>
      </c>
      <c r="B227" s="7">
        <v>44512</v>
      </c>
      <c r="C227" s="8" t="str">
        <f t="shared" si="3"/>
        <v>Fri</v>
      </c>
      <c r="D227" s="9">
        <f>SUMIF(Income!C:C,DayBook!B227,Income!D:D)</f>
        <v>0</v>
      </c>
      <c r="E227" s="9">
        <f>SUMIF(Expense!B:B,DayBook!B227,Expense!C:C)</f>
        <v>0</v>
      </c>
    </row>
    <row r="228" spans="1:5" x14ac:dyDescent="0.25">
      <c r="A228" s="6">
        <v>227</v>
      </c>
      <c r="B228" s="7">
        <v>44513</v>
      </c>
      <c r="C228" s="8" t="str">
        <f t="shared" si="3"/>
        <v>Sat</v>
      </c>
      <c r="D228" s="9">
        <f>SUMIF(Income!C:C,DayBook!B228,Income!D:D)</f>
        <v>0</v>
      </c>
      <c r="E228" s="9">
        <f>SUMIF(Expense!B:B,DayBook!B228,Expense!C:C)</f>
        <v>0</v>
      </c>
    </row>
    <row r="229" spans="1:5" x14ac:dyDescent="0.25">
      <c r="A229" s="6">
        <v>228</v>
      </c>
      <c r="B229" s="7">
        <v>44514</v>
      </c>
      <c r="C229" s="8" t="str">
        <f t="shared" si="3"/>
        <v>Sun</v>
      </c>
      <c r="D229" s="9">
        <f>SUMIF(Income!C:C,DayBook!B229,Income!D:D)</f>
        <v>0</v>
      </c>
      <c r="E229" s="9">
        <f>SUMIF(Expense!B:B,DayBook!B229,Expense!C:C)</f>
        <v>0</v>
      </c>
    </row>
    <row r="230" spans="1:5" x14ac:dyDescent="0.25">
      <c r="A230" s="6">
        <v>229</v>
      </c>
      <c r="B230" s="7">
        <v>44515</v>
      </c>
      <c r="C230" s="8" t="str">
        <f t="shared" si="3"/>
        <v>Mon</v>
      </c>
      <c r="D230" s="9">
        <f>SUMIF(Income!C:C,DayBook!B230,Income!D:D)</f>
        <v>0</v>
      </c>
      <c r="E230" s="9">
        <f>SUMIF(Expense!B:B,DayBook!B230,Expense!C:C)</f>
        <v>0</v>
      </c>
    </row>
    <row r="231" spans="1:5" x14ac:dyDescent="0.25">
      <c r="A231" s="6">
        <v>230</v>
      </c>
      <c r="B231" s="7">
        <v>44516</v>
      </c>
      <c r="C231" s="8" t="str">
        <f t="shared" si="3"/>
        <v>Tue</v>
      </c>
      <c r="D231" s="9">
        <f>SUMIF(Income!C:C,DayBook!B231,Income!D:D)</f>
        <v>0</v>
      </c>
      <c r="E231" s="9">
        <f>SUMIF(Expense!B:B,DayBook!B231,Expense!C:C)</f>
        <v>0</v>
      </c>
    </row>
    <row r="232" spans="1:5" x14ac:dyDescent="0.25">
      <c r="A232" s="6">
        <v>231</v>
      </c>
      <c r="B232" s="7">
        <v>44517</v>
      </c>
      <c r="C232" s="8" t="str">
        <f t="shared" si="3"/>
        <v>Wed</v>
      </c>
      <c r="D232" s="9">
        <f>SUMIF(Income!C:C,DayBook!B232,Income!D:D)</f>
        <v>0</v>
      </c>
      <c r="E232" s="9">
        <f>SUMIF(Expense!B:B,DayBook!B232,Expense!C:C)</f>
        <v>0</v>
      </c>
    </row>
    <row r="233" spans="1:5" x14ac:dyDescent="0.25">
      <c r="A233" s="6">
        <v>232</v>
      </c>
      <c r="B233" s="7">
        <v>44518</v>
      </c>
      <c r="C233" s="8" t="str">
        <f t="shared" si="3"/>
        <v>Thu</v>
      </c>
      <c r="D233" s="9">
        <f>SUMIF(Income!C:C,DayBook!B233,Income!D:D)</f>
        <v>0</v>
      </c>
      <c r="E233" s="9">
        <f>SUMIF(Expense!B:B,DayBook!B233,Expense!C:C)</f>
        <v>0</v>
      </c>
    </row>
    <row r="234" spans="1:5" x14ac:dyDescent="0.25">
      <c r="A234" s="6">
        <v>233</v>
      </c>
      <c r="B234" s="7">
        <v>44519</v>
      </c>
      <c r="C234" s="8" t="str">
        <f t="shared" si="3"/>
        <v>Fri</v>
      </c>
      <c r="D234" s="9">
        <f>SUMIF(Income!C:C,DayBook!B234,Income!D:D)</f>
        <v>0</v>
      </c>
      <c r="E234" s="9">
        <f>SUMIF(Expense!B:B,DayBook!B234,Expense!C:C)</f>
        <v>0</v>
      </c>
    </row>
    <row r="235" spans="1:5" x14ac:dyDescent="0.25">
      <c r="A235" s="6">
        <v>234</v>
      </c>
      <c r="B235" s="7">
        <v>44520</v>
      </c>
      <c r="C235" s="8" t="str">
        <f t="shared" si="3"/>
        <v>Sat</v>
      </c>
      <c r="D235" s="9">
        <f>SUMIF(Income!C:C,DayBook!B235,Income!D:D)</f>
        <v>0</v>
      </c>
      <c r="E235" s="9">
        <f>SUMIF(Expense!B:B,DayBook!B235,Expense!C:C)</f>
        <v>0</v>
      </c>
    </row>
    <row r="236" spans="1:5" x14ac:dyDescent="0.25">
      <c r="A236" s="6">
        <v>235</v>
      </c>
      <c r="B236" s="7">
        <v>44521</v>
      </c>
      <c r="C236" s="8" t="str">
        <f t="shared" si="3"/>
        <v>Sun</v>
      </c>
      <c r="D236" s="9">
        <f>SUMIF(Income!C:C,DayBook!B236,Income!D:D)</f>
        <v>0</v>
      </c>
      <c r="E236" s="9">
        <f>SUMIF(Expense!B:B,DayBook!B236,Expense!C:C)</f>
        <v>0</v>
      </c>
    </row>
    <row r="237" spans="1:5" x14ac:dyDescent="0.25">
      <c r="A237" s="6">
        <v>236</v>
      </c>
      <c r="B237" s="7">
        <v>44522</v>
      </c>
      <c r="C237" s="8" t="str">
        <f t="shared" si="3"/>
        <v>Mon</v>
      </c>
      <c r="D237" s="9">
        <f>SUMIF(Income!C:C,DayBook!B237,Income!D:D)</f>
        <v>0</v>
      </c>
      <c r="E237" s="9">
        <f>SUMIF(Expense!B:B,DayBook!B237,Expense!C:C)</f>
        <v>0</v>
      </c>
    </row>
    <row r="238" spans="1:5" x14ac:dyDescent="0.25">
      <c r="A238" s="6">
        <v>237</v>
      </c>
      <c r="B238" s="7">
        <v>44523</v>
      </c>
      <c r="C238" s="8" t="str">
        <f t="shared" si="3"/>
        <v>Tue</v>
      </c>
      <c r="D238" s="9">
        <f>SUMIF(Income!C:C,DayBook!B238,Income!D:D)</f>
        <v>0</v>
      </c>
      <c r="E238" s="9">
        <f>SUMIF(Expense!B:B,DayBook!B238,Expense!C:C)</f>
        <v>0</v>
      </c>
    </row>
    <row r="239" spans="1:5" x14ac:dyDescent="0.25">
      <c r="A239" s="6">
        <v>238</v>
      </c>
      <c r="B239" s="7">
        <v>44524</v>
      </c>
      <c r="C239" s="8" t="str">
        <f t="shared" si="3"/>
        <v>Wed</v>
      </c>
      <c r="D239" s="9">
        <f>SUMIF(Income!C:C,DayBook!B239,Income!D:D)</f>
        <v>0</v>
      </c>
      <c r="E239" s="9">
        <f>SUMIF(Expense!B:B,DayBook!B239,Expense!C:C)</f>
        <v>0</v>
      </c>
    </row>
    <row r="240" spans="1:5" x14ac:dyDescent="0.25">
      <c r="A240" s="6">
        <v>239</v>
      </c>
      <c r="B240" s="7">
        <v>44525</v>
      </c>
      <c r="C240" s="8" t="str">
        <f t="shared" si="3"/>
        <v>Thu</v>
      </c>
      <c r="D240" s="9">
        <f>SUMIF(Income!C:C,DayBook!B240,Income!D:D)</f>
        <v>0</v>
      </c>
      <c r="E240" s="9">
        <f>SUMIF(Expense!B:B,DayBook!B240,Expense!C:C)</f>
        <v>0</v>
      </c>
    </row>
    <row r="241" spans="1:5" x14ac:dyDescent="0.25">
      <c r="A241" s="6">
        <v>240</v>
      </c>
      <c r="B241" s="7">
        <v>44526</v>
      </c>
      <c r="C241" s="8" t="str">
        <f t="shared" si="3"/>
        <v>Fri</v>
      </c>
      <c r="D241" s="9">
        <f>SUMIF(Income!C:C,DayBook!B241,Income!D:D)</f>
        <v>0</v>
      </c>
      <c r="E241" s="9">
        <f>SUMIF(Expense!B:B,DayBook!B241,Expense!C:C)</f>
        <v>0</v>
      </c>
    </row>
    <row r="242" spans="1:5" x14ac:dyDescent="0.25">
      <c r="A242" s="6">
        <v>241</v>
      </c>
      <c r="B242" s="7">
        <v>44527</v>
      </c>
      <c r="C242" s="8" t="str">
        <f t="shared" si="3"/>
        <v>Sat</v>
      </c>
      <c r="D242" s="9">
        <f>SUMIF(Income!C:C,DayBook!B242,Income!D:D)</f>
        <v>0</v>
      </c>
      <c r="E242" s="9">
        <f>SUMIF(Expense!B:B,DayBook!B242,Expense!C:C)</f>
        <v>0</v>
      </c>
    </row>
    <row r="243" spans="1:5" x14ac:dyDescent="0.25">
      <c r="A243" s="6">
        <v>242</v>
      </c>
      <c r="B243" s="7">
        <v>44528</v>
      </c>
      <c r="C243" s="8" t="str">
        <f t="shared" si="3"/>
        <v>Sun</v>
      </c>
      <c r="D243" s="9">
        <f>SUMIF(Income!C:C,DayBook!B243,Income!D:D)</f>
        <v>0</v>
      </c>
      <c r="E243" s="9">
        <f>SUMIF(Expense!B:B,DayBook!B243,Expense!C:C)</f>
        <v>0</v>
      </c>
    </row>
    <row r="244" spans="1:5" x14ac:dyDescent="0.25">
      <c r="A244" s="6">
        <v>243</v>
      </c>
      <c r="B244" s="7">
        <v>44529</v>
      </c>
      <c r="C244" s="8" t="str">
        <f t="shared" si="3"/>
        <v>Mon</v>
      </c>
      <c r="D244" s="9">
        <f>SUMIF(Income!C:C,DayBook!B244,Income!D:D)</f>
        <v>0</v>
      </c>
      <c r="E244" s="9">
        <f>SUMIF(Expense!B:B,DayBook!B244,Expense!C:C)</f>
        <v>0</v>
      </c>
    </row>
    <row r="245" spans="1:5" x14ac:dyDescent="0.25">
      <c r="A245" s="6">
        <v>244</v>
      </c>
      <c r="B245" s="7">
        <v>44530</v>
      </c>
      <c r="C245" s="8" t="str">
        <f t="shared" si="3"/>
        <v>Tue</v>
      </c>
      <c r="D245" s="9">
        <f>SUMIF(Income!C:C,DayBook!B245,Income!D:D)</f>
        <v>0</v>
      </c>
      <c r="E245" s="9">
        <f>SUMIF(Expense!B:B,DayBook!B245,Expense!C:C)</f>
        <v>0</v>
      </c>
    </row>
    <row r="246" spans="1:5" x14ac:dyDescent="0.25">
      <c r="A246" s="6">
        <v>245</v>
      </c>
      <c r="B246" s="7">
        <v>44531</v>
      </c>
      <c r="C246" s="8" t="str">
        <f t="shared" si="3"/>
        <v>Wed</v>
      </c>
      <c r="D246" s="9">
        <f>SUMIF(Income!C:C,DayBook!B246,Income!D:D)</f>
        <v>0</v>
      </c>
      <c r="E246" s="9">
        <f>SUMIF(Expense!B:B,DayBook!B246,Expense!C:C)</f>
        <v>0</v>
      </c>
    </row>
    <row r="247" spans="1:5" x14ac:dyDescent="0.25">
      <c r="A247" s="6">
        <v>246</v>
      </c>
      <c r="B247" s="7">
        <v>44532</v>
      </c>
      <c r="C247" s="8" t="str">
        <f t="shared" si="3"/>
        <v>Thu</v>
      </c>
      <c r="D247" s="9">
        <f>SUMIF(Income!C:C,DayBook!B247,Income!D:D)</f>
        <v>0</v>
      </c>
      <c r="E247" s="9">
        <f>SUMIF(Expense!B:B,DayBook!B247,Expense!C:C)</f>
        <v>0</v>
      </c>
    </row>
    <row r="248" spans="1:5" x14ac:dyDescent="0.25">
      <c r="A248" s="6">
        <v>247</v>
      </c>
      <c r="B248" s="7">
        <v>44533</v>
      </c>
      <c r="C248" s="8" t="str">
        <f t="shared" si="3"/>
        <v>Fri</v>
      </c>
      <c r="D248" s="9">
        <f>SUMIF(Income!C:C,DayBook!B248,Income!D:D)</f>
        <v>0</v>
      </c>
      <c r="E248" s="9">
        <f>SUMIF(Expense!B:B,DayBook!B248,Expense!C:C)</f>
        <v>0</v>
      </c>
    </row>
    <row r="249" spans="1:5" x14ac:dyDescent="0.25">
      <c r="A249" s="6">
        <v>248</v>
      </c>
      <c r="B249" s="7">
        <v>44534</v>
      </c>
      <c r="C249" s="8" t="str">
        <f t="shared" si="3"/>
        <v>Sat</v>
      </c>
      <c r="D249" s="9">
        <f>SUMIF(Income!C:C,DayBook!B249,Income!D:D)</f>
        <v>0</v>
      </c>
      <c r="E249" s="9">
        <f>SUMIF(Expense!B:B,DayBook!B249,Expense!C:C)</f>
        <v>0</v>
      </c>
    </row>
    <row r="250" spans="1:5" x14ac:dyDescent="0.25">
      <c r="A250" s="6">
        <v>249</v>
      </c>
      <c r="B250" s="7">
        <v>44535</v>
      </c>
      <c r="C250" s="8" t="str">
        <f t="shared" si="3"/>
        <v>Sun</v>
      </c>
      <c r="D250" s="9">
        <f>SUMIF(Income!C:C,DayBook!B250,Income!D:D)</f>
        <v>0</v>
      </c>
      <c r="E250" s="9">
        <f>SUMIF(Expense!B:B,DayBook!B250,Expense!C:C)</f>
        <v>0</v>
      </c>
    </row>
    <row r="251" spans="1:5" x14ac:dyDescent="0.25">
      <c r="A251" s="6">
        <v>250</v>
      </c>
      <c r="B251" s="7">
        <v>44536</v>
      </c>
      <c r="C251" s="8" t="str">
        <f t="shared" si="3"/>
        <v>Mon</v>
      </c>
      <c r="D251" s="9">
        <f>SUMIF(Income!C:C,DayBook!B251,Income!D:D)</f>
        <v>0</v>
      </c>
      <c r="E251" s="9">
        <f>SUMIF(Expense!B:B,DayBook!B251,Expense!C:C)</f>
        <v>0</v>
      </c>
    </row>
    <row r="252" spans="1:5" x14ac:dyDescent="0.25">
      <c r="A252" s="6">
        <v>251</v>
      </c>
      <c r="B252" s="7">
        <v>44537</v>
      </c>
      <c r="C252" s="8" t="str">
        <f t="shared" si="3"/>
        <v>Tue</v>
      </c>
      <c r="D252" s="9">
        <f>SUMIF(Income!C:C,DayBook!B252,Income!D:D)</f>
        <v>0</v>
      </c>
      <c r="E252" s="9">
        <f>SUMIF(Expense!B:B,DayBook!B252,Expense!C:C)</f>
        <v>0</v>
      </c>
    </row>
    <row r="253" spans="1:5" x14ac:dyDescent="0.25">
      <c r="A253" s="6">
        <v>252</v>
      </c>
      <c r="B253" s="7">
        <v>44538</v>
      </c>
      <c r="C253" s="8" t="str">
        <f t="shared" si="3"/>
        <v>Wed</v>
      </c>
      <c r="D253" s="9">
        <f>SUMIF(Income!C:C,DayBook!B253,Income!D:D)</f>
        <v>0</v>
      </c>
      <c r="E253" s="9">
        <f>SUMIF(Expense!B:B,DayBook!B253,Expense!C:C)</f>
        <v>0</v>
      </c>
    </row>
    <row r="254" spans="1:5" x14ac:dyDescent="0.25">
      <c r="A254" s="6">
        <v>253</v>
      </c>
      <c r="B254" s="7">
        <v>44539</v>
      </c>
      <c r="C254" s="8" t="str">
        <f t="shared" si="3"/>
        <v>Thu</v>
      </c>
      <c r="D254" s="9">
        <f>SUMIF(Income!C:C,DayBook!B254,Income!D:D)</f>
        <v>0</v>
      </c>
      <c r="E254" s="9">
        <f>SUMIF(Expense!B:B,DayBook!B254,Expense!C:C)</f>
        <v>0</v>
      </c>
    </row>
    <row r="255" spans="1:5" x14ac:dyDescent="0.25">
      <c r="A255" s="6">
        <v>254</v>
      </c>
      <c r="B255" s="7">
        <v>44540</v>
      </c>
      <c r="C255" s="8" t="str">
        <f t="shared" si="3"/>
        <v>Fri</v>
      </c>
      <c r="D255" s="9">
        <f>SUMIF(Income!C:C,DayBook!B255,Income!D:D)</f>
        <v>0</v>
      </c>
      <c r="E255" s="9">
        <f>SUMIF(Expense!B:B,DayBook!B255,Expense!C:C)</f>
        <v>0</v>
      </c>
    </row>
    <row r="256" spans="1:5" x14ac:dyDescent="0.25">
      <c r="A256" s="6">
        <v>255</v>
      </c>
      <c r="B256" s="7">
        <v>44541</v>
      </c>
      <c r="C256" s="8" t="str">
        <f t="shared" si="3"/>
        <v>Sat</v>
      </c>
      <c r="D256" s="9">
        <f>SUMIF(Income!C:C,DayBook!B256,Income!D:D)</f>
        <v>0</v>
      </c>
      <c r="E256" s="9">
        <f>SUMIF(Expense!B:B,DayBook!B256,Expense!C:C)</f>
        <v>0</v>
      </c>
    </row>
    <row r="257" spans="1:5" x14ac:dyDescent="0.25">
      <c r="A257" s="6">
        <v>256</v>
      </c>
      <c r="B257" s="7">
        <v>44542</v>
      </c>
      <c r="C257" s="8" t="str">
        <f t="shared" si="3"/>
        <v>Sun</v>
      </c>
      <c r="D257" s="9">
        <f>SUMIF(Income!C:C,DayBook!B257,Income!D:D)</f>
        <v>0</v>
      </c>
      <c r="E257" s="9">
        <f>SUMIF(Expense!B:B,DayBook!B257,Expense!C:C)</f>
        <v>0</v>
      </c>
    </row>
    <row r="258" spans="1:5" x14ac:dyDescent="0.25">
      <c r="A258" s="6">
        <v>257</v>
      </c>
      <c r="B258" s="7">
        <v>44543</v>
      </c>
      <c r="C258" s="8" t="str">
        <f t="shared" si="3"/>
        <v>Mon</v>
      </c>
      <c r="D258" s="9">
        <f>SUMIF(Income!C:C,DayBook!B258,Income!D:D)</f>
        <v>0</v>
      </c>
      <c r="E258" s="9">
        <f>SUMIF(Expense!B:B,DayBook!B258,Expense!C:C)</f>
        <v>0</v>
      </c>
    </row>
    <row r="259" spans="1:5" x14ac:dyDescent="0.25">
      <c r="A259" s="6">
        <v>258</v>
      </c>
      <c r="B259" s="7">
        <v>44544</v>
      </c>
      <c r="C259" s="8" t="str">
        <f t="shared" ref="C259:C322" si="4">TEXT(B259,"ddd")</f>
        <v>Tue</v>
      </c>
      <c r="D259" s="9">
        <f>SUMIF(Income!C:C,DayBook!B259,Income!D:D)</f>
        <v>0</v>
      </c>
      <c r="E259" s="9">
        <f>SUMIF(Expense!B:B,DayBook!B259,Expense!C:C)</f>
        <v>0</v>
      </c>
    </row>
    <row r="260" spans="1:5" x14ac:dyDescent="0.25">
      <c r="A260" s="6">
        <v>259</v>
      </c>
      <c r="B260" s="7">
        <v>44545</v>
      </c>
      <c r="C260" s="8" t="str">
        <f t="shared" si="4"/>
        <v>Wed</v>
      </c>
      <c r="D260" s="9">
        <f>SUMIF(Income!C:C,DayBook!B260,Income!D:D)</f>
        <v>0</v>
      </c>
      <c r="E260" s="9">
        <f>SUMIF(Expense!B:B,DayBook!B260,Expense!C:C)</f>
        <v>0</v>
      </c>
    </row>
    <row r="261" spans="1:5" x14ac:dyDescent="0.25">
      <c r="A261" s="6">
        <v>260</v>
      </c>
      <c r="B261" s="7">
        <v>44546</v>
      </c>
      <c r="C261" s="8" t="str">
        <f t="shared" si="4"/>
        <v>Thu</v>
      </c>
      <c r="D261" s="9">
        <f>SUMIF(Income!C:C,DayBook!B261,Income!D:D)</f>
        <v>0</v>
      </c>
      <c r="E261" s="9">
        <f>SUMIF(Expense!B:B,DayBook!B261,Expense!C:C)</f>
        <v>0</v>
      </c>
    </row>
    <row r="262" spans="1:5" x14ac:dyDescent="0.25">
      <c r="A262" s="6">
        <v>261</v>
      </c>
      <c r="B262" s="7">
        <v>44547</v>
      </c>
      <c r="C262" s="8" t="str">
        <f t="shared" si="4"/>
        <v>Fri</v>
      </c>
      <c r="D262" s="9">
        <f>SUMIF(Income!C:C,DayBook!B262,Income!D:D)</f>
        <v>0</v>
      </c>
      <c r="E262" s="9">
        <f>SUMIF(Expense!B:B,DayBook!B262,Expense!C:C)</f>
        <v>0</v>
      </c>
    </row>
    <row r="263" spans="1:5" x14ac:dyDescent="0.25">
      <c r="A263" s="6">
        <v>262</v>
      </c>
      <c r="B263" s="7">
        <v>44548</v>
      </c>
      <c r="C263" s="8" t="str">
        <f t="shared" si="4"/>
        <v>Sat</v>
      </c>
      <c r="D263" s="9">
        <f>SUMIF(Income!C:C,DayBook!B263,Income!D:D)</f>
        <v>0</v>
      </c>
      <c r="E263" s="9">
        <f>SUMIF(Expense!B:B,DayBook!B263,Expense!C:C)</f>
        <v>0</v>
      </c>
    </row>
    <row r="264" spans="1:5" x14ac:dyDescent="0.25">
      <c r="A264" s="6">
        <v>263</v>
      </c>
      <c r="B264" s="7">
        <v>44549</v>
      </c>
      <c r="C264" s="8" t="str">
        <f t="shared" si="4"/>
        <v>Sun</v>
      </c>
      <c r="D264" s="9">
        <f>SUMIF(Income!C:C,DayBook!B264,Income!D:D)</f>
        <v>0</v>
      </c>
      <c r="E264" s="9">
        <f>SUMIF(Expense!B:B,DayBook!B264,Expense!C:C)</f>
        <v>0</v>
      </c>
    </row>
    <row r="265" spans="1:5" x14ac:dyDescent="0.25">
      <c r="A265" s="6">
        <v>264</v>
      </c>
      <c r="B265" s="7">
        <v>44550</v>
      </c>
      <c r="C265" s="8" t="str">
        <f t="shared" si="4"/>
        <v>Mon</v>
      </c>
      <c r="D265" s="9">
        <f>SUMIF(Income!C:C,DayBook!B265,Income!D:D)</f>
        <v>0</v>
      </c>
      <c r="E265" s="9">
        <f>SUMIF(Expense!B:B,DayBook!B265,Expense!C:C)</f>
        <v>0</v>
      </c>
    </row>
    <row r="266" spans="1:5" x14ac:dyDescent="0.25">
      <c r="A266" s="6">
        <v>265</v>
      </c>
      <c r="B266" s="7">
        <v>44551</v>
      </c>
      <c r="C266" s="8" t="str">
        <f t="shared" si="4"/>
        <v>Tue</v>
      </c>
      <c r="D266" s="9">
        <f>SUMIF(Income!C:C,DayBook!B266,Income!D:D)</f>
        <v>0</v>
      </c>
      <c r="E266" s="9">
        <f>SUMIF(Expense!B:B,DayBook!B266,Expense!C:C)</f>
        <v>0</v>
      </c>
    </row>
    <row r="267" spans="1:5" x14ac:dyDescent="0.25">
      <c r="A267" s="6">
        <v>266</v>
      </c>
      <c r="B267" s="7">
        <v>44552</v>
      </c>
      <c r="C267" s="8" t="str">
        <f t="shared" si="4"/>
        <v>Wed</v>
      </c>
      <c r="D267" s="9">
        <f>SUMIF(Income!C:C,DayBook!B267,Income!D:D)</f>
        <v>0</v>
      </c>
      <c r="E267" s="9">
        <f>SUMIF(Expense!B:B,DayBook!B267,Expense!C:C)</f>
        <v>0</v>
      </c>
    </row>
    <row r="268" spans="1:5" x14ac:dyDescent="0.25">
      <c r="A268" s="6">
        <v>267</v>
      </c>
      <c r="B268" s="7">
        <v>44553</v>
      </c>
      <c r="C268" s="8" t="str">
        <f t="shared" si="4"/>
        <v>Thu</v>
      </c>
      <c r="D268" s="9">
        <f>SUMIF(Income!C:C,DayBook!B268,Income!D:D)</f>
        <v>0</v>
      </c>
      <c r="E268" s="9">
        <f>SUMIF(Expense!B:B,DayBook!B268,Expense!C:C)</f>
        <v>0</v>
      </c>
    </row>
    <row r="269" spans="1:5" x14ac:dyDescent="0.25">
      <c r="A269" s="6">
        <v>268</v>
      </c>
      <c r="B269" s="7">
        <v>44554</v>
      </c>
      <c r="C269" s="8" t="str">
        <f t="shared" si="4"/>
        <v>Fri</v>
      </c>
      <c r="D269" s="9">
        <f>SUMIF(Income!C:C,DayBook!B269,Income!D:D)</f>
        <v>0</v>
      </c>
      <c r="E269" s="9">
        <f>SUMIF(Expense!B:B,DayBook!B269,Expense!C:C)</f>
        <v>0</v>
      </c>
    </row>
    <row r="270" spans="1:5" x14ac:dyDescent="0.25">
      <c r="A270" s="6">
        <v>269</v>
      </c>
      <c r="B270" s="7">
        <v>44555</v>
      </c>
      <c r="C270" s="8" t="str">
        <f t="shared" si="4"/>
        <v>Sat</v>
      </c>
      <c r="D270" s="9">
        <f>SUMIF(Income!C:C,DayBook!B270,Income!D:D)</f>
        <v>0</v>
      </c>
      <c r="E270" s="9">
        <f>SUMIF(Expense!B:B,DayBook!B270,Expense!C:C)</f>
        <v>0</v>
      </c>
    </row>
    <row r="271" spans="1:5" x14ac:dyDescent="0.25">
      <c r="A271" s="6">
        <v>270</v>
      </c>
      <c r="B271" s="7">
        <v>44556</v>
      </c>
      <c r="C271" s="8" t="str">
        <f t="shared" si="4"/>
        <v>Sun</v>
      </c>
      <c r="D271" s="9">
        <f>SUMIF(Income!C:C,DayBook!B271,Income!D:D)</f>
        <v>0</v>
      </c>
      <c r="E271" s="9">
        <f>SUMIF(Expense!B:B,DayBook!B271,Expense!C:C)</f>
        <v>0</v>
      </c>
    </row>
    <row r="272" spans="1:5" x14ac:dyDescent="0.25">
      <c r="A272" s="6">
        <v>271</v>
      </c>
      <c r="B272" s="7">
        <v>44557</v>
      </c>
      <c r="C272" s="8" t="str">
        <f t="shared" si="4"/>
        <v>Mon</v>
      </c>
      <c r="D272" s="9">
        <f>SUMIF(Income!C:C,DayBook!B272,Income!D:D)</f>
        <v>0</v>
      </c>
      <c r="E272" s="9">
        <f>SUMIF(Expense!B:B,DayBook!B272,Expense!C:C)</f>
        <v>0</v>
      </c>
    </row>
    <row r="273" spans="1:5" x14ac:dyDescent="0.25">
      <c r="A273" s="6">
        <v>272</v>
      </c>
      <c r="B273" s="7">
        <v>44558</v>
      </c>
      <c r="C273" s="8" t="str">
        <f t="shared" si="4"/>
        <v>Tue</v>
      </c>
      <c r="D273" s="9">
        <f>SUMIF(Income!C:C,DayBook!B273,Income!D:D)</f>
        <v>0</v>
      </c>
      <c r="E273" s="9">
        <f>SUMIF(Expense!B:B,DayBook!B273,Expense!C:C)</f>
        <v>0</v>
      </c>
    </row>
    <row r="274" spans="1:5" x14ac:dyDescent="0.25">
      <c r="A274" s="6">
        <v>273</v>
      </c>
      <c r="B274" s="7">
        <v>44559</v>
      </c>
      <c r="C274" s="8" t="str">
        <f t="shared" si="4"/>
        <v>Wed</v>
      </c>
      <c r="D274" s="9">
        <f>SUMIF(Income!C:C,DayBook!B274,Income!D:D)</f>
        <v>0</v>
      </c>
      <c r="E274" s="9">
        <f>SUMIF(Expense!B:B,DayBook!B274,Expense!C:C)</f>
        <v>0</v>
      </c>
    </row>
    <row r="275" spans="1:5" x14ac:dyDescent="0.25">
      <c r="A275" s="6">
        <v>274</v>
      </c>
      <c r="B275" s="7">
        <v>44560</v>
      </c>
      <c r="C275" s="8" t="str">
        <f t="shared" si="4"/>
        <v>Thu</v>
      </c>
      <c r="D275" s="9">
        <f>SUMIF(Income!C:C,DayBook!B275,Income!D:D)</f>
        <v>0</v>
      </c>
      <c r="E275" s="9">
        <f>SUMIF(Expense!B:B,DayBook!B275,Expense!C:C)</f>
        <v>0</v>
      </c>
    </row>
    <row r="276" spans="1:5" x14ac:dyDescent="0.25">
      <c r="A276" s="6">
        <v>275</v>
      </c>
      <c r="B276" s="7">
        <v>44561</v>
      </c>
      <c r="C276" s="8" t="str">
        <f t="shared" si="4"/>
        <v>Fri</v>
      </c>
      <c r="D276" s="9">
        <f>SUMIF(Income!C:C,DayBook!B276,Income!D:D)</f>
        <v>0</v>
      </c>
      <c r="E276" s="9">
        <f>SUMIF(Expense!B:B,DayBook!B276,Expense!C:C)</f>
        <v>0</v>
      </c>
    </row>
    <row r="277" spans="1:5" x14ac:dyDescent="0.25">
      <c r="A277" s="6">
        <v>276</v>
      </c>
      <c r="B277" s="7">
        <v>44562</v>
      </c>
      <c r="C277" s="8" t="str">
        <f t="shared" si="4"/>
        <v>Sat</v>
      </c>
      <c r="D277" s="9">
        <f>SUMIF(Income!C:C,DayBook!B277,Income!D:D)</f>
        <v>0</v>
      </c>
      <c r="E277" s="9">
        <f>SUMIF(Expense!B:B,DayBook!B277,Expense!C:C)</f>
        <v>0</v>
      </c>
    </row>
    <row r="278" spans="1:5" x14ac:dyDescent="0.25">
      <c r="A278" s="6">
        <v>277</v>
      </c>
      <c r="B278" s="7">
        <v>44563</v>
      </c>
      <c r="C278" s="8" t="str">
        <f t="shared" si="4"/>
        <v>Sun</v>
      </c>
      <c r="D278" s="9">
        <f>SUMIF(Income!C:C,DayBook!B278,Income!D:D)</f>
        <v>0</v>
      </c>
      <c r="E278" s="9">
        <f>SUMIF(Expense!B:B,DayBook!B278,Expense!C:C)</f>
        <v>0</v>
      </c>
    </row>
    <row r="279" spans="1:5" x14ac:dyDescent="0.25">
      <c r="A279" s="6">
        <v>278</v>
      </c>
      <c r="B279" s="7">
        <v>44564</v>
      </c>
      <c r="C279" s="8" t="str">
        <f t="shared" si="4"/>
        <v>Mon</v>
      </c>
      <c r="D279" s="9">
        <f>SUMIF(Income!C:C,DayBook!B279,Income!D:D)</f>
        <v>0</v>
      </c>
      <c r="E279" s="9">
        <f>SUMIF(Expense!B:B,DayBook!B279,Expense!C:C)</f>
        <v>0</v>
      </c>
    </row>
    <row r="280" spans="1:5" x14ac:dyDescent="0.25">
      <c r="A280" s="6">
        <v>279</v>
      </c>
      <c r="B280" s="7">
        <v>44565</v>
      </c>
      <c r="C280" s="8" t="str">
        <f t="shared" si="4"/>
        <v>Tue</v>
      </c>
      <c r="D280" s="9">
        <f>SUMIF(Income!C:C,DayBook!B280,Income!D:D)</f>
        <v>0</v>
      </c>
      <c r="E280" s="9">
        <f>SUMIF(Expense!B:B,DayBook!B280,Expense!C:C)</f>
        <v>0</v>
      </c>
    </row>
    <row r="281" spans="1:5" x14ac:dyDescent="0.25">
      <c r="A281" s="6">
        <v>280</v>
      </c>
      <c r="B281" s="7">
        <v>44566</v>
      </c>
      <c r="C281" s="8" t="str">
        <f t="shared" si="4"/>
        <v>Wed</v>
      </c>
      <c r="D281" s="9">
        <f>SUMIF(Income!C:C,DayBook!B281,Income!D:D)</f>
        <v>0</v>
      </c>
      <c r="E281" s="9">
        <f>SUMIF(Expense!B:B,DayBook!B281,Expense!C:C)</f>
        <v>0</v>
      </c>
    </row>
    <row r="282" spans="1:5" x14ac:dyDescent="0.25">
      <c r="A282" s="6">
        <v>281</v>
      </c>
      <c r="B282" s="7">
        <v>44567</v>
      </c>
      <c r="C282" s="8" t="str">
        <f t="shared" si="4"/>
        <v>Thu</v>
      </c>
      <c r="D282" s="9">
        <f>SUMIF(Income!C:C,DayBook!B282,Income!D:D)</f>
        <v>0</v>
      </c>
      <c r="E282" s="9">
        <f>SUMIF(Expense!B:B,DayBook!B282,Expense!C:C)</f>
        <v>0</v>
      </c>
    </row>
    <row r="283" spans="1:5" x14ac:dyDescent="0.25">
      <c r="A283" s="6">
        <v>282</v>
      </c>
      <c r="B283" s="7">
        <v>44568</v>
      </c>
      <c r="C283" s="8" t="str">
        <f t="shared" si="4"/>
        <v>Fri</v>
      </c>
      <c r="D283" s="9">
        <f>SUMIF(Income!C:C,DayBook!B283,Income!D:D)</f>
        <v>0</v>
      </c>
      <c r="E283" s="9">
        <f>SUMIF(Expense!B:B,DayBook!B283,Expense!C:C)</f>
        <v>0</v>
      </c>
    </row>
    <row r="284" spans="1:5" x14ac:dyDescent="0.25">
      <c r="A284" s="6">
        <v>283</v>
      </c>
      <c r="B284" s="7">
        <v>44569</v>
      </c>
      <c r="C284" s="8" t="str">
        <f t="shared" si="4"/>
        <v>Sat</v>
      </c>
      <c r="D284" s="9">
        <f>SUMIF(Income!C:C,DayBook!B284,Income!D:D)</f>
        <v>0</v>
      </c>
      <c r="E284" s="9">
        <f>SUMIF(Expense!B:B,DayBook!B284,Expense!C:C)</f>
        <v>0</v>
      </c>
    </row>
    <row r="285" spans="1:5" x14ac:dyDescent="0.25">
      <c r="A285" s="6">
        <v>284</v>
      </c>
      <c r="B285" s="7">
        <v>44570</v>
      </c>
      <c r="C285" s="8" t="str">
        <f t="shared" si="4"/>
        <v>Sun</v>
      </c>
      <c r="D285" s="9">
        <f>SUMIF(Income!C:C,DayBook!B285,Income!D:D)</f>
        <v>0</v>
      </c>
      <c r="E285" s="9">
        <f>SUMIF(Expense!B:B,DayBook!B285,Expense!C:C)</f>
        <v>0</v>
      </c>
    </row>
    <row r="286" spans="1:5" x14ac:dyDescent="0.25">
      <c r="A286" s="6">
        <v>285</v>
      </c>
      <c r="B286" s="7">
        <v>44571</v>
      </c>
      <c r="C286" s="8" t="str">
        <f t="shared" si="4"/>
        <v>Mon</v>
      </c>
      <c r="D286" s="9">
        <f>SUMIF(Income!C:C,DayBook!B286,Income!D:D)</f>
        <v>0</v>
      </c>
      <c r="E286" s="9">
        <f>SUMIF(Expense!B:B,DayBook!B286,Expense!C:C)</f>
        <v>0</v>
      </c>
    </row>
    <row r="287" spans="1:5" x14ac:dyDescent="0.25">
      <c r="A287" s="6">
        <v>286</v>
      </c>
      <c r="B287" s="7">
        <v>44572</v>
      </c>
      <c r="C287" s="8" t="str">
        <f t="shared" si="4"/>
        <v>Tue</v>
      </c>
      <c r="D287" s="9">
        <f>SUMIF(Income!C:C,DayBook!B287,Income!D:D)</f>
        <v>0</v>
      </c>
      <c r="E287" s="9">
        <f>SUMIF(Expense!B:B,DayBook!B287,Expense!C:C)</f>
        <v>0</v>
      </c>
    </row>
    <row r="288" spans="1:5" x14ac:dyDescent="0.25">
      <c r="A288" s="6">
        <v>287</v>
      </c>
      <c r="B288" s="7">
        <v>44573</v>
      </c>
      <c r="C288" s="8" t="str">
        <f t="shared" si="4"/>
        <v>Wed</v>
      </c>
      <c r="D288" s="9">
        <f>SUMIF(Income!C:C,DayBook!B288,Income!D:D)</f>
        <v>0</v>
      </c>
      <c r="E288" s="9">
        <f>SUMIF(Expense!B:B,DayBook!B288,Expense!C:C)</f>
        <v>0</v>
      </c>
    </row>
    <row r="289" spans="1:5" x14ac:dyDescent="0.25">
      <c r="A289" s="6">
        <v>288</v>
      </c>
      <c r="B289" s="7">
        <v>44574</v>
      </c>
      <c r="C289" s="8" t="str">
        <f t="shared" si="4"/>
        <v>Thu</v>
      </c>
      <c r="D289" s="9">
        <f>SUMIF(Income!C:C,DayBook!B289,Income!D:D)</f>
        <v>0</v>
      </c>
      <c r="E289" s="9">
        <f>SUMIF(Expense!B:B,DayBook!B289,Expense!C:C)</f>
        <v>0</v>
      </c>
    </row>
    <row r="290" spans="1:5" x14ac:dyDescent="0.25">
      <c r="A290" s="6">
        <v>289</v>
      </c>
      <c r="B290" s="7">
        <v>44575</v>
      </c>
      <c r="C290" s="8" t="str">
        <f t="shared" si="4"/>
        <v>Fri</v>
      </c>
      <c r="D290" s="9">
        <f>SUMIF(Income!C:C,DayBook!B290,Income!D:D)</f>
        <v>0</v>
      </c>
      <c r="E290" s="9">
        <f>SUMIF(Expense!B:B,DayBook!B290,Expense!C:C)</f>
        <v>0</v>
      </c>
    </row>
    <row r="291" spans="1:5" x14ac:dyDescent="0.25">
      <c r="A291" s="6">
        <v>290</v>
      </c>
      <c r="B291" s="7">
        <v>44576</v>
      </c>
      <c r="C291" s="8" t="str">
        <f t="shared" si="4"/>
        <v>Sat</v>
      </c>
      <c r="D291" s="9">
        <f>SUMIF(Income!C:C,DayBook!B291,Income!D:D)</f>
        <v>0</v>
      </c>
      <c r="E291" s="9">
        <f>SUMIF(Expense!B:B,DayBook!B291,Expense!C:C)</f>
        <v>0</v>
      </c>
    </row>
    <row r="292" spans="1:5" x14ac:dyDescent="0.25">
      <c r="A292" s="6">
        <v>291</v>
      </c>
      <c r="B292" s="7">
        <v>44577</v>
      </c>
      <c r="C292" s="8" t="str">
        <f t="shared" si="4"/>
        <v>Sun</v>
      </c>
      <c r="D292" s="9">
        <f>SUMIF(Income!C:C,DayBook!B292,Income!D:D)</f>
        <v>0</v>
      </c>
      <c r="E292" s="9">
        <f>SUMIF(Expense!B:B,DayBook!B292,Expense!C:C)</f>
        <v>0</v>
      </c>
    </row>
    <row r="293" spans="1:5" x14ac:dyDescent="0.25">
      <c r="A293" s="6">
        <v>292</v>
      </c>
      <c r="B293" s="7">
        <v>44578</v>
      </c>
      <c r="C293" s="8" t="str">
        <f t="shared" si="4"/>
        <v>Mon</v>
      </c>
      <c r="D293" s="9">
        <f>SUMIF(Income!C:C,DayBook!B293,Income!D:D)</f>
        <v>0</v>
      </c>
      <c r="E293" s="9">
        <f>SUMIF(Expense!B:B,DayBook!B293,Expense!C:C)</f>
        <v>0</v>
      </c>
    </row>
    <row r="294" spans="1:5" x14ac:dyDescent="0.25">
      <c r="A294" s="6">
        <v>293</v>
      </c>
      <c r="B294" s="7">
        <v>44579</v>
      </c>
      <c r="C294" s="8" t="str">
        <f t="shared" si="4"/>
        <v>Tue</v>
      </c>
      <c r="D294" s="9">
        <f>SUMIF(Income!C:C,DayBook!B294,Income!D:D)</f>
        <v>0</v>
      </c>
      <c r="E294" s="9">
        <f>SUMIF(Expense!B:B,DayBook!B294,Expense!C:C)</f>
        <v>0</v>
      </c>
    </row>
    <row r="295" spans="1:5" x14ac:dyDescent="0.25">
      <c r="A295" s="6">
        <v>294</v>
      </c>
      <c r="B295" s="7">
        <v>44580</v>
      </c>
      <c r="C295" s="8" t="str">
        <f t="shared" si="4"/>
        <v>Wed</v>
      </c>
      <c r="D295" s="9">
        <f>SUMIF(Income!C:C,DayBook!B295,Income!D:D)</f>
        <v>0</v>
      </c>
      <c r="E295" s="9">
        <f>SUMIF(Expense!B:B,DayBook!B295,Expense!C:C)</f>
        <v>0</v>
      </c>
    </row>
    <row r="296" spans="1:5" x14ac:dyDescent="0.25">
      <c r="A296" s="6">
        <v>295</v>
      </c>
      <c r="B296" s="7">
        <v>44581</v>
      </c>
      <c r="C296" s="8" t="str">
        <f t="shared" si="4"/>
        <v>Thu</v>
      </c>
      <c r="D296" s="9">
        <f>SUMIF(Income!C:C,DayBook!B296,Income!D:D)</f>
        <v>0</v>
      </c>
      <c r="E296" s="9">
        <f>SUMIF(Expense!B:B,DayBook!B296,Expense!C:C)</f>
        <v>0</v>
      </c>
    </row>
    <row r="297" spans="1:5" x14ac:dyDescent="0.25">
      <c r="A297" s="6">
        <v>296</v>
      </c>
      <c r="B297" s="7">
        <v>44582</v>
      </c>
      <c r="C297" s="8" t="str">
        <f t="shared" si="4"/>
        <v>Fri</v>
      </c>
      <c r="D297" s="9">
        <f>SUMIF(Income!C:C,DayBook!B297,Income!D:D)</f>
        <v>0</v>
      </c>
      <c r="E297" s="9">
        <f>SUMIF(Expense!B:B,DayBook!B297,Expense!C:C)</f>
        <v>0</v>
      </c>
    </row>
    <row r="298" spans="1:5" x14ac:dyDescent="0.25">
      <c r="A298" s="6">
        <v>297</v>
      </c>
      <c r="B298" s="7">
        <v>44583</v>
      </c>
      <c r="C298" s="8" t="str">
        <f t="shared" si="4"/>
        <v>Sat</v>
      </c>
      <c r="D298" s="9">
        <f>SUMIF(Income!C:C,DayBook!B298,Income!D:D)</f>
        <v>0</v>
      </c>
      <c r="E298" s="9">
        <f>SUMIF(Expense!B:B,DayBook!B298,Expense!C:C)</f>
        <v>0</v>
      </c>
    </row>
    <row r="299" spans="1:5" x14ac:dyDescent="0.25">
      <c r="A299" s="6">
        <v>298</v>
      </c>
      <c r="B299" s="7">
        <v>44584</v>
      </c>
      <c r="C299" s="8" t="str">
        <f t="shared" si="4"/>
        <v>Sun</v>
      </c>
      <c r="D299" s="9">
        <f>SUMIF(Income!C:C,DayBook!B299,Income!D:D)</f>
        <v>0</v>
      </c>
      <c r="E299" s="9">
        <f>SUMIF(Expense!B:B,DayBook!B299,Expense!C:C)</f>
        <v>0</v>
      </c>
    </row>
    <row r="300" spans="1:5" x14ac:dyDescent="0.25">
      <c r="A300" s="6">
        <v>299</v>
      </c>
      <c r="B300" s="7">
        <v>44585</v>
      </c>
      <c r="C300" s="8" t="str">
        <f t="shared" si="4"/>
        <v>Mon</v>
      </c>
      <c r="D300" s="9">
        <f>SUMIF(Income!C:C,DayBook!B300,Income!D:D)</f>
        <v>0</v>
      </c>
      <c r="E300" s="9">
        <f>SUMIF(Expense!B:B,DayBook!B300,Expense!C:C)</f>
        <v>0</v>
      </c>
    </row>
    <row r="301" spans="1:5" x14ac:dyDescent="0.25">
      <c r="A301" s="6">
        <v>300</v>
      </c>
      <c r="B301" s="7">
        <v>44586</v>
      </c>
      <c r="C301" s="8" t="str">
        <f t="shared" si="4"/>
        <v>Tue</v>
      </c>
      <c r="D301" s="9">
        <f>SUMIF(Income!C:C,DayBook!B301,Income!D:D)</f>
        <v>0</v>
      </c>
      <c r="E301" s="9">
        <f>SUMIF(Expense!B:B,DayBook!B301,Expense!C:C)</f>
        <v>0</v>
      </c>
    </row>
    <row r="302" spans="1:5" x14ac:dyDescent="0.25">
      <c r="A302" s="6">
        <v>301</v>
      </c>
      <c r="B302" s="7">
        <v>44587</v>
      </c>
      <c r="C302" s="8" t="str">
        <f t="shared" si="4"/>
        <v>Wed</v>
      </c>
      <c r="D302" s="9">
        <f>SUMIF(Income!C:C,DayBook!B302,Income!D:D)</f>
        <v>0</v>
      </c>
      <c r="E302" s="9">
        <f>SUMIF(Expense!B:B,DayBook!B302,Expense!C:C)</f>
        <v>0</v>
      </c>
    </row>
    <row r="303" spans="1:5" x14ac:dyDescent="0.25">
      <c r="A303" s="6">
        <v>302</v>
      </c>
      <c r="B303" s="7">
        <v>44588</v>
      </c>
      <c r="C303" s="8" t="str">
        <f t="shared" si="4"/>
        <v>Thu</v>
      </c>
      <c r="D303" s="9">
        <f>SUMIF(Income!C:C,DayBook!B303,Income!D:D)</f>
        <v>0</v>
      </c>
      <c r="E303" s="9">
        <f>SUMIF(Expense!B:B,DayBook!B303,Expense!C:C)</f>
        <v>0</v>
      </c>
    </row>
    <row r="304" spans="1:5" x14ac:dyDescent="0.25">
      <c r="A304" s="6">
        <v>303</v>
      </c>
      <c r="B304" s="7">
        <v>44589</v>
      </c>
      <c r="C304" s="8" t="str">
        <f t="shared" si="4"/>
        <v>Fri</v>
      </c>
      <c r="D304" s="9">
        <f>SUMIF(Income!C:C,DayBook!B304,Income!D:D)</f>
        <v>0</v>
      </c>
      <c r="E304" s="9">
        <f>SUMIF(Expense!B:B,DayBook!B304,Expense!C:C)</f>
        <v>0</v>
      </c>
    </row>
    <row r="305" spans="1:5" x14ac:dyDescent="0.25">
      <c r="A305" s="6">
        <v>304</v>
      </c>
      <c r="B305" s="7">
        <v>44590</v>
      </c>
      <c r="C305" s="8" t="str">
        <f t="shared" si="4"/>
        <v>Sat</v>
      </c>
      <c r="D305" s="9">
        <f>SUMIF(Income!C:C,DayBook!B305,Income!D:D)</f>
        <v>0</v>
      </c>
      <c r="E305" s="9">
        <f>SUMIF(Expense!B:B,DayBook!B305,Expense!C:C)</f>
        <v>0</v>
      </c>
    </row>
    <row r="306" spans="1:5" x14ac:dyDescent="0.25">
      <c r="A306" s="6">
        <v>305</v>
      </c>
      <c r="B306" s="7">
        <v>44591</v>
      </c>
      <c r="C306" s="8" t="str">
        <f t="shared" si="4"/>
        <v>Sun</v>
      </c>
      <c r="D306" s="9">
        <f>SUMIF(Income!C:C,DayBook!B306,Income!D:D)</f>
        <v>0</v>
      </c>
      <c r="E306" s="9">
        <f>SUMIF(Expense!B:B,DayBook!B306,Expense!C:C)</f>
        <v>0</v>
      </c>
    </row>
    <row r="307" spans="1:5" x14ac:dyDescent="0.25">
      <c r="A307" s="6">
        <v>306</v>
      </c>
      <c r="B307" s="7">
        <v>44592</v>
      </c>
      <c r="C307" s="8" t="str">
        <f t="shared" si="4"/>
        <v>Mon</v>
      </c>
      <c r="D307" s="9">
        <f>SUMIF(Income!C:C,DayBook!B307,Income!D:D)</f>
        <v>0</v>
      </c>
      <c r="E307" s="9">
        <f>SUMIF(Expense!B:B,DayBook!B307,Expense!C:C)</f>
        <v>0</v>
      </c>
    </row>
    <row r="308" spans="1:5" x14ac:dyDescent="0.25">
      <c r="A308" s="6">
        <v>307</v>
      </c>
      <c r="B308" s="7">
        <v>44593</v>
      </c>
      <c r="C308" s="8" t="str">
        <f t="shared" si="4"/>
        <v>Tue</v>
      </c>
      <c r="D308" s="9">
        <f>SUMIF(Income!C:C,DayBook!B308,Income!D:D)</f>
        <v>0</v>
      </c>
      <c r="E308" s="9">
        <f>SUMIF(Expense!B:B,DayBook!B308,Expense!C:C)</f>
        <v>0</v>
      </c>
    </row>
    <row r="309" spans="1:5" x14ac:dyDescent="0.25">
      <c r="A309" s="6">
        <v>308</v>
      </c>
      <c r="B309" s="7">
        <v>44594</v>
      </c>
      <c r="C309" s="8" t="str">
        <f t="shared" si="4"/>
        <v>Wed</v>
      </c>
      <c r="D309" s="9">
        <f>SUMIF(Income!C:C,DayBook!B309,Income!D:D)</f>
        <v>0</v>
      </c>
      <c r="E309" s="9">
        <f>SUMIF(Expense!B:B,DayBook!B309,Expense!C:C)</f>
        <v>0</v>
      </c>
    </row>
    <row r="310" spans="1:5" x14ac:dyDescent="0.25">
      <c r="A310" s="6">
        <v>309</v>
      </c>
      <c r="B310" s="7">
        <v>44595</v>
      </c>
      <c r="C310" s="8" t="str">
        <f t="shared" si="4"/>
        <v>Thu</v>
      </c>
      <c r="D310" s="9">
        <f>SUMIF(Income!C:C,DayBook!B310,Income!D:D)</f>
        <v>0</v>
      </c>
      <c r="E310" s="9">
        <f>SUMIF(Expense!B:B,DayBook!B310,Expense!C:C)</f>
        <v>0</v>
      </c>
    </row>
    <row r="311" spans="1:5" x14ac:dyDescent="0.25">
      <c r="A311" s="6">
        <v>310</v>
      </c>
      <c r="B311" s="7">
        <v>44596</v>
      </c>
      <c r="C311" s="8" t="str">
        <f t="shared" si="4"/>
        <v>Fri</v>
      </c>
      <c r="D311" s="9">
        <f>SUMIF(Income!C:C,DayBook!B311,Income!D:D)</f>
        <v>0</v>
      </c>
      <c r="E311" s="9">
        <f>SUMIF(Expense!B:B,DayBook!B311,Expense!C:C)</f>
        <v>0</v>
      </c>
    </row>
    <row r="312" spans="1:5" x14ac:dyDescent="0.25">
      <c r="A312" s="6">
        <v>311</v>
      </c>
      <c r="B312" s="7">
        <v>44597</v>
      </c>
      <c r="C312" s="8" t="str">
        <f t="shared" si="4"/>
        <v>Sat</v>
      </c>
      <c r="D312" s="9">
        <f>SUMIF(Income!C:C,DayBook!B312,Income!D:D)</f>
        <v>0</v>
      </c>
      <c r="E312" s="9">
        <f>SUMIF(Expense!B:B,DayBook!B312,Expense!C:C)</f>
        <v>0</v>
      </c>
    </row>
    <row r="313" spans="1:5" x14ac:dyDescent="0.25">
      <c r="A313" s="6">
        <v>312</v>
      </c>
      <c r="B313" s="7">
        <v>44598</v>
      </c>
      <c r="C313" s="8" t="str">
        <f t="shared" si="4"/>
        <v>Sun</v>
      </c>
      <c r="D313" s="9">
        <f>SUMIF(Income!C:C,DayBook!B313,Income!D:D)</f>
        <v>0</v>
      </c>
      <c r="E313" s="9">
        <f>SUMIF(Expense!B:B,DayBook!B313,Expense!C:C)</f>
        <v>0</v>
      </c>
    </row>
    <row r="314" spans="1:5" x14ac:dyDescent="0.25">
      <c r="A314" s="6">
        <v>313</v>
      </c>
      <c r="B314" s="7">
        <v>44599</v>
      </c>
      <c r="C314" s="8" t="str">
        <f t="shared" si="4"/>
        <v>Mon</v>
      </c>
      <c r="D314" s="9">
        <f>SUMIF(Income!C:C,DayBook!B314,Income!D:D)</f>
        <v>0</v>
      </c>
      <c r="E314" s="9">
        <f>SUMIF(Expense!B:B,DayBook!B314,Expense!C:C)</f>
        <v>0</v>
      </c>
    </row>
    <row r="315" spans="1:5" x14ac:dyDescent="0.25">
      <c r="A315" s="6">
        <v>314</v>
      </c>
      <c r="B315" s="7">
        <v>44600</v>
      </c>
      <c r="C315" s="8" t="str">
        <f t="shared" si="4"/>
        <v>Tue</v>
      </c>
      <c r="D315" s="9">
        <f>SUMIF(Income!C:C,DayBook!B315,Income!D:D)</f>
        <v>0</v>
      </c>
      <c r="E315" s="9">
        <f>SUMIF(Expense!B:B,DayBook!B315,Expense!C:C)</f>
        <v>0</v>
      </c>
    </row>
    <row r="316" spans="1:5" x14ac:dyDescent="0.25">
      <c r="A316" s="6">
        <v>315</v>
      </c>
      <c r="B316" s="7">
        <v>44601</v>
      </c>
      <c r="C316" s="8" t="str">
        <f t="shared" si="4"/>
        <v>Wed</v>
      </c>
      <c r="D316" s="9">
        <f>SUMIF(Income!C:C,DayBook!B316,Income!D:D)</f>
        <v>0</v>
      </c>
      <c r="E316" s="9">
        <f>SUMIF(Expense!B:B,DayBook!B316,Expense!C:C)</f>
        <v>0</v>
      </c>
    </row>
    <row r="317" spans="1:5" x14ac:dyDescent="0.25">
      <c r="A317" s="6">
        <v>316</v>
      </c>
      <c r="B317" s="7">
        <v>44602</v>
      </c>
      <c r="C317" s="8" t="str">
        <f t="shared" si="4"/>
        <v>Thu</v>
      </c>
      <c r="D317" s="9">
        <f>SUMIF(Income!C:C,DayBook!B317,Income!D:D)</f>
        <v>0</v>
      </c>
      <c r="E317" s="9">
        <f>SUMIF(Expense!B:B,DayBook!B317,Expense!C:C)</f>
        <v>0</v>
      </c>
    </row>
    <row r="318" spans="1:5" x14ac:dyDescent="0.25">
      <c r="A318" s="6">
        <v>317</v>
      </c>
      <c r="B318" s="7">
        <v>44603</v>
      </c>
      <c r="C318" s="8" t="str">
        <f t="shared" si="4"/>
        <v>Fri</v>
      </c>
      <c r="D318" s="9">
        <f>SUMIF(Income!C:C,DayBook!B318,Income!D:D)</f>
        <v>0</v>
      </c>
      <c r="E318" s="9">
        <f>SUMIF(Expense!B:B,DayBook!B318,Expense!C:C)</f>
        <v>0</v>
      </c>
    </row>
    <row r="319" spans="1:5" x14ac:dyDescent="0.25">
      <c r="A319" s="6">
        <v>318</v>
      </c>
      <c r="B319" s="7">
        <v>44604</v>
      </c>
      <c r="C319" s="8" t="str">
        <f t="shared" si="4"/>
        <v>Sat</v>
      </c>
      <c r="D319" s="9">
        <f>SUMIF(Income!C:C,DayBook!B319,Income!D:D)</f>
        <v>0</v>
      </c>
      <c r="E319" s="9">
        <f>SUMIF(Expense!B:B,DayBook!B319,Expense!C:C)</f>
        <v>0</v>
      </c>
    </row>
    <row r="320" spans="1:5" x14ac:dyDescent="0.25">
      <c r="A320" s="6">
        <v>319</v>
      </c>
      <c r="B320" s="7">
        <v>44605</v>
      </c>
      <c r="C320" s="8" t="str">
        <f t="shared" si="4"/>
        <v>Sun</v>
      </c>
      <c r="D320" s="9">
        <f>SUMIF(Income!C:C,DayBook!B320,Income!D:D)</f>
        <v>0</v>
      </c>
      <c r="E320" s="9">
        <f>SUMIF(Expense!B:B,DayBook!B320,Expense!C:C)</f>
        <v>0</v>
      </c>
    </row>
    <row r="321" spans="1:5" x14ac:dyDescent="0.25">
      <c r="A321" s="6">
        <v>320</v>
      </c>
      <c r="B321" s="7">
        <v>44606</v>
      </c>
      <c r="C321" s="8" t="str">
        <f t="shared" si="4"/>
        <v>Mon</v>
      </c>
      <c r="D321" s="9">
        <f>SUMIF(Income!C:C,DayBook!B321,Income!D:D)</f>
        <v>0</v>
      </c>
      <c r="E321" s="9">
        <f>SUMIF(Expense!B:B,DayBook!B321,Expense!C:C)</f>
        <v>0</v>
      </c>
    </row>
    <row r="322" spans="1:5" x14ac:dyDescent="0.25">
      <c r="A322" s="6">
        <v>321</v>
      </c>
      <c r="B322" s="7">
        <v>44607</v>
      </c>
      <c r="C322" s="8" t="str">
        <f t="shared" si="4"/>
        <v>Tue</v>
      </c>
      <c r="D322" s="9">
        <f>SUMIF(Income!C:C,DayBook!B322,Income!D:D)</f>
        <v>0</v>
      </c>
      <c r="E322" s="9">
        <f>SUMIF(Expense!B:B,DayBook!B322,Expense!C:C)</f>
        <v>0</v>
      </c>
    </row>
    <row r="323" spans="1:5" x14ac:dyDescent="0.25">
      <c r="A323" s="6">
        <v>322</v>
      </c>
      <c r="B323" s="7">
        <v>44608</v>
      </c>
      <c r="C323" s="8" t="str">
        <f t="shared" ref="C323:C367" si="5">TEXT(B323,"ddd")</f>
        <v>Wed</v>
      </c>
      <c r="D323" s="9">
        <f>SUMIF(Income!C:C,DayBook!B323,Income!D:D)</f>
        <v>0</v>
      </c>
      <c r="E323" s="9">
        <f>SUMIF(Expense!B:B,DayBook!B323,Expense!C:C)</f>
        <v>0</v>
      </c>
    </row>
    <row r="324" spans="1:5" x14ac:dyDescent="0.25">
      <c r="A324" s="6">
        <v>323</v>
      </c>
      <c r="B324" s="7">
        <v>44609</v>
      </c>
      <c r="C324" s="8" t="str">
        <f t="shared" si="5"/>
        <v>Thu</v>
      </c>
      <c r="D324" s="9">
        <f>SUMIF(Income!C:C,DayBook!B324,Income!D:D)</f>
        <v>0</v>
      </c>
      <c r="E324" s="9">
        <f>SUMIF(Expense!B:B,DayBook!B324,Expense!C:C)</f>
        <v>0</v>
      </c>
    </row>
    <row r="325" spans="1:5" x14ac:dyDescent="0.25">
      <c r="A325" s="6">
        <v>324</v>
      </c>
      <c r="B325" s="7">
        <v>44610</v>
      </c>
      <c r="C325" s="8" t="str">
        <f t="shared" si="5"/>
        <v>Fri</v>
      </c>
      <c r="D325" s="9">
        <f>SUMIF(Income!C:C,DayBook!B325,Income!D:D)</f>
        <v>0</v>
      </c>
      <c r="E325" s="9">
        <f>SUMIF(Expense!B:B,DayBook!B325,Expense!C:C)</f>
        <v>0</v>
      </c>
    </row>
    <row r="326" spans="1:5" x14ac:dyDescent="0.25">
      <c r="A326" s="6">
        <v>325</v>
      </c>
      <c r="B326" s="7">
        <v>44611</v>
      </c>
      <c r="C326" s="8" t="str">
        <f t="shared" si="5"/>
        <v>Sat</v>
      </c>
      <c r="D326" s="9">
        <f>SUMIF(Income!C:C,DayBook!B326,Income!D:D)</f>
        <v>0</v>
      </c>
      <c r="E326" s="9">
        <f>SUMIF(Expense!B:B,DayBook!B326,Expense!C:C)</f>
        <v>0</v>
      </c>
    </row>
    <row r="327" spans="1:5" x14ac:dyDescent="0.25">
      <c r="A327" s="6">
        <v>326</v>
      </c>
      <c r="B327" s="7">
        <v>44612</v>
      </c>
      <c r="C327" s="8" t="str">
        <f t="shared" si="5"/>
        <v>Sun</v>
      </c>
      <c r="D327" s="9">
        <f>SUMIF(Income!C:C,DayBook!B327,Income!D:D)</f>
        <v>0</v>
      </c>
      <c r="E327" s="9">
        <f>SUMIF(Expense!B:B,DayBook!B327,Expense!C:C)</f>
        <v>0</v>
      </c>
    </row>
    <row r="328" spans="1:5" x14ac:dyDescent="0.25">
      <c r="A328" s="6">
        <v>327</v>
      </c>
      <c r="B328" s="7">
        <v>44613</v>
      </c>
      <c r="C328" s="8" t="str">
        <f t="shared" si="5"/>
        <v>Mon</v>
      </c>
      <c r="D328" s="9">
        <f>SUMIF(Income!C:C,DayBook!B328,Income!D:D)</f>
        <v>0</v>
      </c>
      <c r="E328" s="9">
        <f>SUMIF(Expense!B:B,DayBook!B328,Expense!C:C)</f>
        <v>0</v>
      </c>
    </row>
    <row r="329" spans="1:5" x14ac:dyDescent="0.25">
      <c r="A329" s="6">
        <v>328</v>
      </c>
      <c r="B329" s="7">
        <v>44614</v>
      </c>
      <c r="C329" s="8" t="str">
        <f t="shared" si="5"/>
        <v>Tue</v>
      </c>
      <c r="D329" s="9">
        <f>SUMIF(Income!C:C,DayBook!B329,Income!D:D)</f>
        <v>0</v>
      </c>
      <c r="E329" s="9">
        <f>SUMIF(Expense!B:B,DayBook!B329,Expense!C:C)</f>
        <v>0</v>
      </c>
    </row>
    <row r="330" spans="1:5" x14ac:dyDescent="0.25">
      <c r="A330" s="6">
        <v>329</v>
      </c>
      <c r="B330" s="7">
        <v>44615</v>
      </c>
      <c r="C330" s="8" t="str">
        <f t="shared" si="5"/>
        <v>Wed</v>
      </c>
      <c r="D330" s="9">
        <f>SUMIF(Income!C:C,DayBook!B330,Income!D:D)</f>
        <v>0</v>
      </c>
      <c r="E330" s="9">
        <f>SUMIF(Expense!B:B,DayBook!B330,Expense!C:C)</f>
        <v>0</v>
      </c>
    </row>
    <row r="331" spans="1:5" x14ac:dyDescent="0.25">
      <c r="A331" s="6">
        <v>330</v>
      </c>
      <c r="B331" s="7">
        <v>44616</v>
      </c>
      <c r="C331" s="8" t="str">
        <f t="shared" si="5"/>
        <v>Thu</v>
      </c>
      <c r="D331" s="9">
        <f>SUMIF(Income!C:C,DayBook!B331,Income!D:D)</f>
        <v>0</v>
      </c>
      <c r="E331" s="9">
        <f>SUMIF(Expense!B:B,DayBook!B331,Expense!C:C)</f>
        <v>0</v>
      </c>
    </row>
    <row r="332" spans="1:5" x14ac:dyDescent="0.25">
      <c r="A332" s="6">
        <v>331</v>
      </c>
      <c r="B332" s="7">
        <v>44617</v>
      </c>
      <c r="C332" s="8" t="str">
        <f t="shared" si="5"/>
        <v>Fri</v>
      </c>
      <c r="D332" s="9">
        <f>SUMIF(Income!C:C,DayBook!B332,Income!D:D)</f>
        <v>0</v>
      </c>
      <c r="E332" s="9">
        <f>SUMIF(Expense!B:B,DayBook!B332,Expense!C:C)</f>
        <v>0</v>
      </c>
    </row>
    <row r="333" spans="1:5" x14ac:dyDescent="0.25">
      <c r="A333" s="6">
        <v>332</v>
      </c>
      <c r="B333" s="7">
        <v>44618</v>
      </c>
      <c r="C333" s="8" t="str">
        <f t="shared" si="5"/>
        <v>Sat</v>
      </c>
      <c r="D333" s="9">
        <f>SUMIF(Income!C:C,DayBook!B333,Income!D:D)</f>
        <v>0</v>
      </c>
      <c r="E333" s="9">
        <f>SUMIF(Expense!B:B,DayBook!B333,Expense!C:C)</f>
        <v>0</v>
      </c>
    </row>
    <row r="334" spans="1:5" x14ac:dyDescent="0.25">
      <c r="A334" s="6">
        <v>333</v>
      </c>
      <c r="B334" s="7">
        <v>44619</v>
      </c>
      <c r="C334" s="8" t="str">
        <f t="shared" si="5"/>
        <v>Sun</v>
      </c>
      <c r="D334" s="9">
        <f>SUMIF(Income!C:C,DayBook!B334,Income!D:D)</f>
        <v>0</v>
      </c>
      <c r="E334" s="9">
        <f>SUMIF(Expense!B:B,DayBook!B334,Expense!C:C)</f>
        <v>0</v>
      </c>
    </row>
    <row r="335" spans="1:5" x14ac:dyDescent="0.25">
      <c r="A335" s="6">
        <v>334</v>
      </c>
      <c r="B335" s="7">
        <v>44620</v>
      </c>
      <c r="C335" s="8" t="str">
        <f t="shared" si="5"/>
        <v>Mon</v>
      </c>
      <c r="D335" s="9">
        <f>SUMIF(Income!C:C,DayBook!B335,Income!D:D)</f>
        <v>0</v>
      </c>
      <c r="E335" s="9">
        <f>SUMIF(Expense!B:B,DayBook!B335,Expense!C:C)</f>
        <v>0</v>
      </c>
    </row>
    <row r="336" spans="1:5" x14ac:dyDescent="0.25">
      <c r="A336" s="6">
        <v>335</v>
      </c>
      <c r="B336" s="7">
        <v>44621</v>
      </c>
      <c r="C336" s="8" t="str">
        <f t="shared" si="5"/>
        <v>Tue</v>
      </c>
      <c r="D336" s="9">
        <f>SUMIF(Income!C:C,DayBook!B336,Income!D:D)</f>
        <v>0</v>
      </c>
      <c r="E336" s="9">
        <f>SUMIF(Expense!B:B,DayBook!B336,Expense!C:C)</f>
        <v>0</v>
      </c>
    </row>
    <row r="337" spans="1:5" x14ac:dyDescent="0.25">
      <c r="A337" s="6">
        <v>336</v>
      </c>
      <c r="B337" s="7">
        <v>44622</v>
      </c>
      <c r="C337" s="8" t="str">
        <f t="shared" si="5"/>
        <v>Wed</v>
      </c>
      <c r="D337" s="9">
        <f>SUMIF(Income!C:C,DayBook!B337,Income!D:D)</f>
        <v>0</v>
      </c>
      <c r="E337" s="9">
        <f>SUMIF(Expense!B:B,DayBook!B337,Expense!C:C)</f>
        <v>0</v>
      </c>
    </row>
    <row r="338" spans="1:5" x14ac:dyDescent="0.25">
      <c r="A338" s="6">
        <v>337</v>
      </c>
      <c r="B338" s="7">
        <v>44623</v>
      </c>
      <c r="C338" s="8" t="str">
        <f t="shared" si="5"/>
        <v>Thu</v>
      </c>
      <c r="D338" s="9">
        <f>SUMIF(Income!C:C,DayBook!B338,Income!D:D)</f>
        <v>0</v>
      </c>
      <c r="E338" s="9">
        <f>SUMIF(Expense!B:B,DayBook!B338,Expense!C:C)</f>
        <v>0</v>
      </c>
    </row>
    <row r="339" spans="1:5" x14ac:dyDescent="0.25">
      <c r="A339" s="6">
        <v>338</v>
      </c>
      <c r="B339" s="7">
        <v>44624</v>
      </c>
      <c r="C339" s="8" t="str">
        <f t="shared" si="5"/>
        <v>Fri</v>
      </c>
      <c r="D339" s="9">
        <f>SUMIF(Income!C:C,DayBook!B339,Income!D:D)</f>
        <v>0</v>
      </c>
      <c r="E339" s="9">
        <f>SUMIF(Expense!B:B,DayBook!B339,Expense!C:C)</f>
        <v>0</v>
      </c>
    </row>
    <row r="340" spans="1:5" x14ac:dyDescent="0.25">
      <c r="A340" s="6">
        <v>339</v>
      </c>
      <c r="B340" s="7">
        <v>44625</v>
      </c>
      <c r="C340" s="8" t="str">
        <f t="shared" si="5"/>
        <v>Sat</v>
      </c>
      <c r="D340" s="9">
        <f>SUMIF(Income!C:C,DayBook!B340,Income!D:D)</f>
        <v>0</v>
      </c>
      <c r="E340" s="9">
        <f>SUMIF(Expense!B:B,DayBook!B340,Expense!C:C)</f>
        <v>0</v>
      </c>
    </row>
    <row r="341" spans="1:5" x14ac:dyDescent="0.25">
      <c r="A341" s="6">
        <v>340</v>
      </c>
      <c r="B341" s="7">
        <v>44626</v>
      </c>
      <c r="C341" s="8" t="str">
        <f t="shared" si="5"/>
        <v>Sun</v>
      </c>
      <c r="D341" s="9">
        <f>SUMIF(Income!C:C,DayBook!B341,Income!D:D)</f>
        <v>0</v>
      </c>
      <c r="E341" s="9">
        <f>SUMIF(Expense!B:B,DayBook!B341,Expense!C:C)</f>
        <v>0</v>
      </c>
    </row>
    <row r="342" spans="1:5" x14ac:dyDescent="0.25">
      <c r="A342" s="6">
        <v>341</v>
      </c>
      <c r="B342" s="7">
        <v>44627</v>
      </c>
      <c r="C342" s="8" t="str">
        <f t="shared" si="5"/>
        <v>Mon</v>
      </c>
      <c r="D342" s="9">
        <f>SUMIF(Income!C:C,DayBook!B342,Income!D:D)</f>
        <v>0</v>
      </c>
      <c r="E342" s="9">
        <f>SUMIF(Expense!B:B,DayBook!B342,Expense!C:C)</f>
        <v>0</v>
      </c>
    </row>
    <row r="343" spans="1:5" x14ac:dyDescent="0.25">
      <c r="A343" s="6">
        <v>342</v>
      </c>
      <c r="B343" s="7">
        <v>44628</v>
      </c>
      <c r="C343" s="8" t="str">
        <f t="shared" si="5"/>
        <v>Tue</v>
      </c>
      <c r="D343" s="9">
        <f>SUMIF(Income!C:C,DayBook!B343,Income!D:D)</f>
        <v>0</v>
      </c>
      <c r="E343" s="9">
        <f>SUMIF(Expense!B:B,DayBook!B343,Expense!C:C)</f>
        <v>0</v>
      </c>
    </row>
    <row r="344" spans="1:5" x14ac:dyDescent="0.25">
      <c r="A344" s="6">
        <v>343</v>
      </c>
      <c r="B344" s="7">
        <v>44629</v>
      </c>
      <c r="C344" s="8" t="str">
        <f t="shared" si="5"/>
        <v>Wed</v>
      </c>
      <c r="D344" s="9">
        <f>SUMIF(Income!C:C,DayBook!B344,Income!D:D)</f>
        <v>0</v>
      </c>
      <c r="E344" s="9">
        <f>SUMIF(Expense!B:B,DayBook!B344,Expense!C:C)</f>
        <v>0</v>
      </c>
    </row>
    <row r="345" spans="1:5" x14ac:dyDescent="0.25">
      <c r="A345" s="6">
        <v>344</v>
      </c>
      <c r="B345" s="7">
        <v>44630</v>
      </c>
      <c r="C345" s="8" t="str">
        <f t="shared" si="5"/>
        <v>Thu</v>
      </c>
      <c r="D345" s="9">
        <f>SUMIF(Income!C:C,DayBook!B345,Income!D:D)</f>
        <v>0</v>
      </c>
      <c r="E345" s="9">
        <f>SUMIF(Expense!B:B,DayBook!B345,Expense!C:C)</f>
        <v>0</v>
      </c>
    </row>
    <row r="346" spans="1:5" x14ac:dyDescent="0.25">
      <c r="A346" s="6">
        <v>345</v>
      </c>
      <c r="B346" s="7">
        <v>44631</v>
      </c>
      <c r="C346" s="8" t="str">
        <f t="shared" si="5"/>
        <v>Fri</v>
      </c>
      <c r="D346" s="9">
        <f>SUMIF(Income!C:C,DayBook!B346,Income!D:D)</f>
        <v>0</v>
      </c>
      <c r="E346" s="9">
        <f>SUMIF(Expense!B:B,DayBook!B346,Expense!C:C)</f>
        <v>0</v>
      </c>
    </row>
    <row r="347" spans="1:5" x14ac:dyDescent="0.25">
      <c r="A347" s="6">
        <v>346</v>
      </c>
      <c r="B347" s="7">
        <v>44632</v>
      </c>
      <c r="C347" s="8" t="str">
        <f t="shared" si="5"/>
        <v>Sat</v>
      </c>
      <c r="D347" s="9">
        <f>SUMIF(Income!C:C,DayBook!B347,Income!D:D)</f>
        <v>0</v>
      </c>
      <c r="E347" s="9">
        <f>SUMIF(Expense!B:B,DayBook!B347,Expense!C:C)</f>
        <v>0</v>
      </c>
    </row>
    <row r="348" spans="1:5" x14ac:dyDescent="0.25">
      <c r="A348" s="6">
        <v>347</v>
      </c>
      <c r="B348" s="7">
        <v>44633</v>
      </c>
      <c r="C348" s="8" t="str">
        <f t="shared" si="5"/>
        <v>Sun</v>
      </c>
      <c r="D348" s="9">
        <f>SUMIF(Income!C:C,DayBook!B348,Income!D:D)</f>
        <v>0</v>
      </c>
      <c r="E348" s="9">
        <f>SUMIF(Expense!B:B,DayBook!B348,Expense!C:C)</f>
        <v>0</v>
      </c>
    </row>
    <row r="349" spans="1:5" x14ac:dyDescent="0.25">
      <c r="A349" s="6">
        <v>348</v>
      </c>
      <c r="B349" s="7">
        <v>44634</v>
      </c>
      <c r="C349" s="8" t="str">
        <f t="shared" si="5"/>
        <v>Mon</v>
      </c>
      <c r="D349" s="9">
        <f>SUMIF(Income!C:C,DayBook!B349,Income!D:D)</f>
        <v>0</v>
      </c>
      <c r="E349" s="9">
        <f>SUMIF(Expense!B:B,DayBook!B349,Expense!C:C)</f>
        <v>0</v>
      </c>
    </row>
    <row r="350" spans="1:5" x14ac:dyDescent="0.25">
      <c r="A350" s="6">
        <v>349</v>
      </c>
      <c r="B350" s="7">
        <v>44635</v>
      </c>
      <c r="C350" s="8" t="str">
        <f t="shared" si="5"/>
        <v>Tue</v>
      </c>
      <c r="D350" s="9">
        <f>SUMIF(Income!C:C,DayBook!B350,Income!D:D)</f>
        <v>0</v>
      </c>
      <c r="E350" s="9">
        <f>SUMIF(Expense!B:B,DayBook!B350,Expense!C:C)</f>
        <v>0</v>
      </c>
    </row>
    <row r="351" spans="1:5" x14ac:dyDescent="0.25">
      <c r="A351" s="6">
        <v>350</v>
      </c>
      <c r="B351" s="7">
        <v>44636</v>
      </c>
      <c r="C351" s="8" t="str">
        <f t="shared" si="5"/>
        <v>Wed</v>
      </c>
      <c r="D351" s="9">
        <f>SUMIF(Income!C:C,DayBook!B351,Income!D:D)</f>
        <v>0</v>
      </c>
      <c r="E351" s="9">
        <f>SUMIF(Expense!B:B,DayBook!B351,Expense!C:C)</f>
        <v>0</v>
      </c>
    </row>
    <row r="352" spans="1:5" x14ac:dyDescent="0.25">
      <c r="A352" s="6">
        <v>351</v>
      </c>
      <c r="B352" s="7">
        <v>44637</v>
      </c>
      <c r="C352" s="8" t="str">
        <f t="shared" si="5"/>
        <v>Thu</v>
      </c>
      <c r="D352" s="9">
        <f>SUMIF(Income!C:C,DayBook!B352,Income!D:D)</f>
        <v>0</v>
      </c>
      <c r="E352" s="9">
        <f>SUMIF(Expense!B:B,DayBook!B352,Expense!C:C)</f>
        <v>0</v>
      </c>
    </row>
    <row r="353" spans="1:5" x14ac:dyDescent="0.25">
      <c r="A353" s="6">
        <v>352</v>
      </c>
      <c r="B353" s="7">
        <v>44638</v>
      </c>
      <c r="C353" s="8" t="str">
        <f t="shared" si="5"/>
        <v>Fri</v>
      </c>
      <c r="D353" s="9">
        <f>SUMIF(Income!C:C,DayBook!B353,Income!D:D)</f>
        <v>0</v>
      </c>
      <c r="E353" s="9">
        <f>SUMIF(Expense!B:B,DayBook!B353,Expense!C:C)</f>
        <v>0</v>
      </c>
    </row>
    <row r="354" spans="1:5" x14ac:dyDescent="0.25">
      <c r="A354" s="6">
        <v>353</v>
      </c>
      <c r="B354" s="7">
        <v>44639</v>
      </c>
      <c r="C354" s="8" t="str">
        <f t="shared" si="5"/>
        <v>Sat</v>
      </c>
      <c r="D354" s="9">
        <f>SUMIF(Income!C:C,DayBook!B354,Income!D:D)</f>
        <v>0</v>
      </c>
      <c r="E354" s="9">
        <f>SUMIF(Expense!B:B,DayBook!B354,Expense!C:C)</f>
        <v>0</v>
      </c>
    </row>
    <row r="355" spans="1:5" x14ac:dyDescent="0.25">
      <c r="A355" s="6">
        <v>354</v>
      </c>
      <c r="B355" s="7">
        <v>44640</v>
      </c>
      <c r="C355" s="8" t="str">
        <f t="shared" si="5"/>
        <v>Sun</v>
      </c>
      <c r="D355" s="9">
        <f>SUMIF(Income!C:C,DayBook!B355,Income!D:D)</f>
        <v>0</v>
      </c>
      <c r="E355" s="9">
        <f>SUMIF(Expense!B:B,DayBook!B355,Expense!C:C)</f>
        <v>0</v>
      </c>
    </row>
    <row r="356" spans="1:5" x14ac:dyDescent="0.25">
      <c r="A356" s="6">
        <v>355</v>
      </c>
      <c r="B356" s="7">
        <v>44641</v>
      </c>
      <c r="C356" s="8" t="str">
        <f t="shared" si="5"/>
        <v>Mon</v>
      </c>
      <c r="D356" s="9">
        <f>SUMIF(Income!C:C,DayBook!B356,Income!D:D)</f>
        <v>0</v>
      </c>
      <c r="E356" s="9">
        <f>SUMIF(Expense!B:B,DayBook!B356,Expense!C:C)</f>
        <v>0</v>
      </c>
    </row>
    <row r="357" spans="1:5" x14ac:dyDescent="0.25">
      <c r="A357" s="6">
        <v>356</v>
      </c>
      <c r="B357" s="7">
        <v>44642</v>
      </c>
      <c r="C357" s="8" t="str">
        <f t="shared" si="5"/>
        <v>Tue</v>
      </c>
      <c r="D357" s="9">
        <f>SUMIF(Income!C:C,DayBook!B357,Income!D:D)</f>
        <v>0</v>
      </c>
      <c r="E357" s="9">
        <f>SUMIF(Expense!B:B,DayBook!B357,Expense!C:C)</f>
        <v>0</v>
      </c>
    </row>
    <row r="358" spans="1:5" x14ac:dyDescent="0.25">
      <c r="A358" s="6">
        <v>357</v>
      </c>
      <c r="B358" s="7">
        <v>44643</v>
      </c>
      <c r="C358" s="8" t="str">
        <f t="shared" si="5"/>
        <v>Wed</v>
      </c>
      <c r="D358" s="9">
        <f>SUMIF(Income!C:C,DayBook!B358,Income!D:D)</f>
        <v>0</v>
      </c>
      <c r="E358" s="9">
        <f>SUMIF(Expense!B:B,DayBook!B358,Expense!C:C)</f>
        <v>0</v>
      </c>
    </row>
    <row r="359" spans="1:5" x14ac:dyDescent="0.25">
      <c r="A359" s="6">
        <v>358</v>
      </c>
      <c r="B359" s="7">
        <v>44644</v>
      </c>
      <c r="C359" s="8" t="str">
        <f t="shared" si="5"/>
        <v>Thu</v>
      </c>
      <c r="D359" s="9">
        <f>SUMIF(Income!C:C,DayBook!B359,Income!D:D)</f>
        <v>0</v>
      </c>
      <c r="E359" s="9">
        <f>SUMIF(Expense!B:B,DayBook!B359,Expense!C:C)</f>
        <v>0</v>
      </c>
    </row>
    <row r="360" spans="1:5" x14ac:dyDescent="0.25">
      <c r="A360" s="6">
        <v>359</v>
      </c>
      <c r="B360" s="7">
        <v>44645</v>
      </c>
      <c r="C360" s="8" t="str">
        <f t="shared" si="5"/>
        <v>Fri</v>
      </c>
      <c r="D360" s="9">
        <f>SUMIF(Income!C:C,DayBook!B360,Income!D:D)</f>
        <v>0</v>
      </c>
      <c r="E360" s="9">
        <f>SUMIF(Expense!B:B,DayBook!B360,Expense!C:C)</f>
        <v>0</v>
      </c>
    </row>
    <row r="361" spans="1:5" x14ac:dyDescent="0.25">
      <c r="A361" s="6">
        <v>360</v>
      </c>
      <c r="B361" s="7">
        <v>44646</v>
      </c>
      <c r="C361" s="8" t="str">
        <f t="shared" si="5"/>
        <v>Sat</v>
      </c>
      <c r="D361" s="9">
        <f>SUMIF(Income!C:C,DayBook!B361,Income!D:D)</f>
        <v>0</v>
      </c>
      <c r="E361" s="9">
        <f>SUMIF(Expense!B:B,DayBook!B361,Expense!C:C)</f>
        <v>0</v>
      </c>
    </row>
    <row r="362" spans="1:5" x14ac:dyDescent="0.25">
      <c r="A362" s="6">
        <v>361</v>
      </c>
      <c r="B362" s="7">
        <v>44647</v>
      </c>
      <c r="C362" s="8" t="str">
        <f t="shared" si="5"/>
        <v>Sun</v>
      </c>
      <c r="D362" s="9">
        <f>SUMIF(Income!C:C,DayBook!B362,Income!D:D)</f>
        <v>0</v>
      </c>
      <c r="E362" s="9">
        <f>SUMIF(Expense!B:B,DayBook!B362,Expense!C:C)</f>
        <v>0</v>
      </c>
    </row>
    <row r="363" spans="1:5" x14ac:dyDescent="0.25">
      <c r="A363" s="6">
        <v>362</v>
      </c>
      <c r="B363" s="7">
        <v>44648</v>
      </c>
      <c r="C363" s="8" t="str">
        <f t="shared" si="5"/>
        <v>Mon</v>
      </c>
      <c r="D363" s="9">
        <f>SUMIF(Income!C:C,DayBook!B363,Income!D:D)</f>
        <v>0</v>
      </c>
      <c r="E363" s="9">
        <f>SUMIF(Expense!B:B,DayBook!B363,Expense!C:C)</f>
        <v>0</v>
      </c>
    </row>
    <row r="364" spans="1:5" x14ac:dyDescent="0.25">
      <c r="A364" s="6">
        <v>363</v>
      </c>
      <c r="B364" s="7">
        <v>44649</v>
      </c>
      <c r="C364" s="8" t="str">
        <f t="shared" si="5"/>
        <v>Tue</v>
      </c>
      <c r="D364" s="9">
        <f>SUMIF(Income!C:C,DayBook!B364,Income!D:D)</f>
        <v>0</v>
      </c>
      <c r="E364" s="9">
        <f>SUMIF(Expense!B:B,DayBook!B364,Expense!C:C)</f>
        <v>0</v>
      </c>
    </row>
    <row r="365" spans="1:5" x14ac:dyDescent="0.25">
      <c r="A365" s="6">
        <v>364</v>
      </c>
      <c r="B365" s="7">
        <v>44650</v>
      </c>
      <c r="C365" s="8" t="str">
        <f t="shared" si="5"/>
        <v>Wed</v>
      </c>
      <c r="D365" s="9">
        <f>SUMIF(Income!C:C,DayBook!B365,Income!D:D)</f>
        <v>0</v>
      </c>
      <c r="E365" s="9">
        <f>SUMIF(Expense!B:B,DayBook!B365,Expense!C:C)</f>
        <v>0</v>
      </c>
    </row>
    <row r="366" spans="1:5" x14ac:dyDescent="0.25">
      <c r="A366" s="6">
        <v>365</v>
      </c>
      <c r="B366" s="7">
        <v>44651</v>
      </c>
      <c r="C366" s="8" t="str">
        <f t="shared" si="5"/>
        <v>Thu</v>
      </c>
      <c r="D366" s="9">
        <f>SUMIF(Income!C:C,DayBook!B366,Income!D:D)</f>
        <v>0</v>
      </c>
      <c r="E366" s="9">
        <f>SUMIF(Expense!B:B,DayBook!B366,Expense!C:C)</f>
        <v>0</v>
      </c>
    </row>
    <row r="367" spans="1:5" x14ac:dyDescent="0.25">
      <c r="A367" s="6">
        <v>366</v>
      </c>
      <c r="B367" s="7">
        <v>44652</v>
      </c>
      <c r="C367" s="8" t="str">
        <f t="shared" si="5"/>
        <v>Fri</v>
      </c>
      <c r="D367" s="9">
        <f>SUMIF(Income!C:C,DayBook!B367,Income!D:D)</f>
        <v>0</v>
      </c>
      <c r="E367" s="9">
        <f>SUMIF(Expense!B:B,DayBook!B367,Expense!C:C)</f>
        <v>0</v>
      </c>
    </row>
  </sheetData>
  <autoFilter ref="A1:E367"/>
  <mergeCells count="14">
    <mergeCell ref="J20:L21"/>
    <mergeCell ref="H13:I14"/>
    <mergeCell ref="J13:K14"/>
    <mergeCell ref="L13:L14"/>
    <mergeCell ref="H17:I18"/>
    <mergeCell ref="J17:K18"/>
    <mergeCell ref="L17:L18"/>
    <mergeCell ref="H1:L2"/>
    <mergeCell ref="G3:M3"/>
    <mergeCell ref="I4:K5"/>
    <mergeCell ref="I6:K7"/>
    <mergeCell ref="H10:I11"/>
    <mergeCell ref="J10:K11"/>
    <mergeCell ref="L10:L11"/>
  </mergeCell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Expense</vt:lpstr>
      <vt:lpstr>Income</vt:lpstr>
      <vt:lpstr>DayBook</vt:lpstr>
      <vt:lpstr>daybook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MH</cp:lastModifiedBy>
  <dcterms:created xsi:type="dcterms:W3CDTF">2021-04-08T16:51:19Z</dcterms:created>
  <dcterms:modified xsi:type="dcterms:W3CDTF">2021-04-16T15:33:31Z</dcterms:modified>
</cp:coreProperties>
</file>